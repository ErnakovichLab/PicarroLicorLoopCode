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 Inventory" sheetId="1" r:id="rId4"/>
    <sheet state="visible" name="Sheet3" sheetId="2" r:id="rId5"/>
    <sheet state="visible" name="Sheet 4" sheetId="3" r:id="rId6"/>
    <sheet state="visible" name="Mole fraction calculations" sheetId="4" r:id="rId7"/>
    <sheet state="visible" name="Exudate Cocktail Design2" sheetId="5" r:id="rId8"/>
    <sheet state="visible" name="Exudate Cocktail Final" sheetId="6" r:id="rId9"/>
    <sheet state="visible" name="Structural Litter Cocktail Desi" sheetId="7" r:id="rId10"/>
    <sheet state="visible" name="Structural Litter Cocktail Fina" sheetId="8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7">
      <text>
        <t xml:space="preserve">dihydrate molecular mass, anhydrous = 90.034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6">
      <text>
        <t xml:space="preserve">If dihydrate; </t>
      </text>
    </comment>
    <comment authorId="0" ref="F6">
      <text>
        <t xml:space="preserve">If dihydrate; </t>
      </text>
    </comment>
  </commentList>
</comments>
</file>

<file path=xl/sharedStrings.xml><?xml version="1.0" encoding="utf-8"?>
<sst xmlns="http://schemas.openxmlformats.org/spreadsheetml/2006/main" count="3832" uniqueCount="322">
  <si>
    <t>Item ID</t>
  </si>
  <si>
    <t>Item name</t>
  </si>
  <si>
    <t>Microbial Community</t>
  </si>
  <si>
    <t>Carbon Source</t>
  </si>
  <si>
    <t>Oxygen Isotope</t>
  </si>
  <si>
    <t>Carbon Isotope</t>
  </si>
  <si>
    <t>Isotope Combo</t>
  </si>
  <si>
    <t>Replicate</t>
  </si>
  <si>
    <t>Jar</t>
  </si>
  <si>
    <t>Jar Number</t>
  </si>
  <si>
    <t>Jar Label</t>
  </si>
  <si>
    <t>Subsample (?)</t>
  </si>
  <si>
    <t>TubeNumber</t>
  </si>
  <si>
    <t>Sample Weight (g)</t>
  </si>
  <si>
    <t>Jar Sample weight</t>
  </si>
  <si>
    <t>Dry weight equivalent assuming gwc 0.569)</t>
  </si>
  <si>
    <t>Rhizosphere + Permafrost</t>
  </si>
  <si>
    <t>Lignin/Cellulose</t>
  </si>
  <si>
    <t>16O</t>
  </si>
  <si>
    <t>13C</t>
  </si>
  <si>
    <t>Replicate 1</t>
  </si>
  <si>
    <t>Jar 1</t>
  </si>
  <si>
    <t>Day 1</t>
  </si>
  <si>
    <t>Day 3</t>
  </si>
  <si>
    <t>Day 5</t>
  </si>
  <si>
    <t>RNA Subsample 1</t>
  </si>
  <si>
    <t>RNA Subsample 3</t>
  </si>
  <si>
    <t>RNA Subsample 5</t>
  </si>
  <si>
    <t>12C</t>
  </si>
  <si>
    <t>Jar 2</t>
  </si>
  <si>
    <t>18O</t>
  </si>
  <si>
    <t>Jar 3</t>
  </si>
  <si>
    <t>Exudate Cocktail</t>
  </si>
  <si>
    <t>Jar 4</t>
  </si>
  <si>
    <t>Jar 5</t>
  </si>
  <si>
    <t>Jar 6</t>
  </si>
  <si>
    <t>No Carbon Added</t>
  </si>
  <si>
    <t>No C</t>
  </si>
  <si>
    <t>Jar 7</t>
  </si>
  <si>
    <t>Jar 8</t>
  </si>
  <si>
    <t>Active Layer + Permafrost</t>
  </si>
  <si>
    <t>Jar 9</t>
  </si>
  <si>
    <t>Jar 10</t>
  </si>
  <si>
    <t>Jar 11</t>
  </si>
  <si>
    <t>Jar 12</t>
  </si>
  <si>
    <t>.</t>
  </si>
  <si>
    <t>Jar 13</t>
  </si>
  <si>
    <t>Jar 14</t>
  </si>
  <si>
    <t>Jar 15</t>
  </si>
  <si>
    <t>Jar 16</t>
  </si>
  <si>
    <t>Permafrost Alone</t>
  </si>
  <si>
    <t>Jar 17</t>
  </si>
  <si>
    <t>Jar 18</t>
  </si>
  <si>
    <t>Jar 19</t>
  </si>
  <si>
    <t>Replicate 2</t>
  </si>
  <si>
    <t>Jar 20</t>
  </si>
  <si>
    <t>Jar 21</t>
  </si>
  <si>
    <t>Jar 22</t>
  </si>
  <si>
    <t>Jar 23</t>
  </si>
  <si>
    <t>Jar 24</t>
  </si>
  <si>
    <t>Jar 25</t>
  </si>
  <si>
    <t>Jar 26</t>
  </si>
  <si>
    <t>Jar 27</t>
  </si>
  <si>
    <t>Jar 28</t>
  </si>
  <si>
    <t>Jar 29</t>
  </si>
  <si>
    <t>Jar 30</t>
  </si>
  <si>
    <t>Jar 31</t>
  </si>
  <si>
    <t>Jar 32</t>
  </si>
  <si>
    <t>Jar 33</t>
  </si>
  <si>
    <t>Jar 34</t>
  </si>
  <si>
    <t>Jar 35</t>
  </si>
  <si>
    <t>Jar 36</t>
  </si>
  <si>
    <t>Jar 37</t>
  </si>
  <si>
    <t>Jar 38</t>
  </si>
  <si>
    <t>Replicate 3</t>
  </si>
  <si>
    <t>Jar 39</t>
  </si>
  <si>
    <t>Jar 40</t>
  </si>
  <si>
    <t>Jar 41</t>
  </si>
  <si>
    <t>Jar 42</t>
  </si>
  <si>
    <t>Jar 43</t>
  </si>
  <si>
    <t>Jar 44</t>
  </si>
  <si>
    <t>Jar 45</t>
  </si>
  <si>
    <t>Jar 46</t>
  </si>
  <si>
    <t>Jar 47</t>
  </si>
  <si>
    <t>Jar 48</t>
  </si>
  <si>
    <t>Jar 49</t>
  </si>
  <si>
    <t>Jar 50</t>
  </si>
  <si>
    <t>Jar 51</t>
  </si>
  <si>
    <t>Jar 52</t>
  </si>
  <si>
    <t>Jar 53</t>
  </si>
  <si>
    <t>Jar 54</t>
  </si>
  <si>
    <t>Jar 55</t>
  </si>
  <si>
    <t>Jar 56</t>
  </si>
  <si>
    <t>Jar 57</t>
  </si>
  <si>
    <t>Replicate 4</t>
  </si>
  <si>
    <t>Jar 58</t>
  </si>
  <si>
    <t>Jar 59</t>
  </si>
  <si>
    <t>Jar 60</t>
  </si>
  <si>
    <t>Jar 61</t>
  </si>
  <si>
    <t>Jar 62</t>
  </si>
  <si>
    <t>Jar 63</t>
  </si>
  <si>
    <t>Jar 64</t>
  </si>
  <si>
    <t>Jar 65</t>
  </si>
  <si>
    <t>Jar 66</t>
  </si>
  <si>
    <t>Jar 67</t>
  </si>
  <si>
    <t>Jar 68</t>
  </si>
  <si>
    <t>Jar 69</t>
  </si>
  <si>
    <t>Jar 70</t>
  </si>
  <si>
    <t>Jar 71</t>
  </si>
  <si>
    <t>Jar 72</t>
  </si>
  <si>
    <t>Jar 73</t>
  </si>
  <si>
    <t>Jar 74</t>
  </si>
  <si>
    <t>Jar 75</t>
  </si>
  <si>
    <t>Jar 76</t>
  </si>
  <si>
    <t>Jar 77</t>
  </si>
  <si>
    <t>Jar 78</t>
  </si>
  <si>
    <t>Jar 79</t>
  </si>
  <si>
    <t>Jar 80</t>
  </si>
  <si>
    <t>Jar 81</t>
  </si>
  <si>
    <t>Jar 82</t>
  </si>
  <si>
    <t>Jar 83</t>
  </si>
  <si>
    <t>Jar 84</t>
  </si>
  <si>
    <t>Subsample Calculations</t>
  </si>
  <si>
    <t>1g per extraction</t>
  </si>
  <si>
    <t>5 subsamples</t>
  </si>
  <si>
    <t>5 grams per jar</t>
  </si>
  <si>
    <t xml:space="preserve">Soil: </t>
  </si>
  <si>
    <t>East Toolik</t>
  </si>
  <si>
    <t>AL soil community</t>
  </si>
  <si>
    <t>Lowest mineral? 30-40cm?</t>
  </si>
  <si>
    <t>Permafrost</t>
  </si>
  <si>
    <t>Depth?</t>
  </si>
  <si>
    <t>Microbe Treatment</t>
  </si>
  <si>
    <t>RhizoPermafrost</t>
  </si>
  <si>
    <t>ALPermafrost</t>
  </si>
  <si>
    <t>25% metabolic in CLM for all PFTs (all pfts are same)</t>
  </si>
  <si>
    <t>C:N in mimics = 15 metabolic</t>
  </si>
  <si>
    <t>C:N in mimics is = any N left over goes to structural</t>
  </si>
  <si>
    <t>C:N of cocktail</t>
  </si>
  <si>
    <t>Neon litter chemistry for herbaceous sedge plot type:</t>
  </si>
  <si>
    <t>plots: [1] "TOOL_011" "TOOL_003" "TOOL_043" "TOOL_043" "TOOL_041" "TOOL_042" "TOOL_044"</t>
  </si>
  <si>
    <t>chemdat</t>
  </si>
  <si>
    <t>Mean</t>
  </si>
  <si>
    <t>SE</t>
  </si>
  <si>
    <t>Sd</t>
  </si>
  <si>
    <t>Mole faction rounded</t>
  </si>
  <si>
    <t>CNratio</t>
  </si>
  <si>
    <t>carbonPercent</t>
  </si>
  <si>
    <t>cellulosePercent</t>
  </si>
  <si>
    <t>ligninPercent</t>
  </si>
  <si>
    <t>nitrogenPercent</t>
  </si>
  <si>
    <t>rootCNratio</t>
  </si>
  <si>
    <t>rootcarbonPercent</t>
  </si>
  <si>
    <t>rootnitrogenPercent</t>
  </si>
  <si>
    <t>C:N ratio of chitin</t>
  </si>
  <si>
    <t>8:1</t>
  </si>
  <si>
    <r>
      <rPr>
        <b/>
      </rPr>
      <t>Chitin (</t>
    </r>
    <r>
      <rPr>
        <color rgb="FF000000"/>
      </rPr>
      <t>C</t>
    </r>
    <r>
      <rPr/>
      <t>8</t>
    </r>
    <r>
      <rPr>
        <color rgb="FF000000"/>
      </rPr>
      <t>H</t>
    </r>
    <r>
      <rPr/>
      <t>13</t>
    </r>
    <r>
      <rPr>
        <color rgb="FF000000"/>
      </rPr>
      <t>O</t>
    </r>
    <r>
      <rPr/>
      <t>5</t>
    </r>
    <r>
      <rPr>
        <color rgb="FF000000"/>
      </rPr>
      <t>N)n</t>
    </r>
  </si>
  <si>
    <t>Lignin</t>
  </si>
  <si>
    <t>Cellulose</t>
  </si>
  <si>
    <t>Chitin</t>
  </si>
  <si>
    <t>SARAH's Calculations</t>
  </si>
  <si>
    <t>final concentration (mgC L-1)</t>
  </si>
  <si>
    <t>Moles of exudate per liter (mol/L)</t>
  </si>
  <si>
    <t>Final concentration</t>
  </si>
  <si>
    <t>compound</t>
  </si>
  <si>
    <t>molecular formula</t>
  </si>
  <si>
    <t>relative molar abundance of compound</t>
  </si>
  <si>
    <t>molecular weight (g/mol)</t>
  </si>
  <si>
    <t>carbon per molecule (gC molecule-1)</t>
  </si>
  <si>
    <t>carbon per molecule exudate (gC molecule-1 exudate)</t>
  </si>
  <si>
    <t>concentration exudate compound (g L-1)</t>
  </si>
  <si>
    <t>g C L-1 per compound</t>
  </si>
  <si>
    <t>compound to add to 500mL solution (g)</t>
  </si>
  <si>
    <t>Labeled compound to add (g)</t>
  </si>
  <si>
    <t>mg</t>
  </si>
  <si>
    <t>glucose</t>
  </si>
  <si>
    <t>C6H12O6</t>
  </si>
  <si>
    <t>oxalic acid</t>
  </si>
  <si>
    <t>C2H2O4</t>
  </si>
  <si>
    <t>alanine</t>
  </si>
  <si>
    <t>C3H7NO2</t>
  </si>
  <si>
    <t>total carbon per mol exudate:</t>
  </si>
  <si>
    <t>Total C additions for 28 samples (gC)</t>
  </si>
  <si>
    <t>Soln. needed (L)</t>
  </si>
  <si>
    <t>Soln. to make up (mL)</t>
  </si>
  <si>
    <t>?</t>
  </si>
  <si>
    <t>C/N</t>
  </si>
  <si>
    <r>
      <rPr/>
      <t xml:space="preserve">Finley paper: </t>
    </r>
    <r>
      <rPr>
        <color rgb="FF1155CC"/>
        <u/>
      </rPr>
      <t>https://www.sciencedirect.com/science/article/pii/S0016706117311357</t>
    </r>
  </si>
  <si>
    <t>350 µg C g−1 soil dry weight added 1 time from finley paper</t>
  </si>
  <si>
    <t>Each week for six weeks, 350 μg substrate-C g−1 soil was added to each soil sample after which soil was thoroughly mixed.</t>
  </si>
  <si>
    <t>Sean added 10ug C per each addition</t>
  </si>
  <si>
    <t xml:space="preserve">Sean added carbon daily. </t>
  </si>
  <si>
    <t xml:space="preserve">If I add carbon weekly, 70ug of carbon per each addition. </t>
  </si>
  <si>
    <t>14 ug C/uL solution</t>
  </si>
  <si>
    <t>umol/uL C solution</t>
  </si>
  <si>
    <t xml:space="preserve">5ul per week, we get </t>
  </si>
  <si>
    <t>mMol/mL</t>
  </si>
  <si>
    <t>70ug C per week</t>
  </si>
  <si>
    <t xml:space="preserve">total C additions: </t>
  </si>
  <si>
    <t>14 ug/uL</t>
  </si>
  <si>
    <t>14 g/L</t>
  </si>
  <si>
    <t>14000mg/L</t>
  </si>
  <si>
    <t>Target Addition (mg C substrate per g soil per week)</t>
  </si>
  <si>
    <t>Target volume (uL per g soil per week)</t>
  </si>
  <si>
    <t>Target concentration (mg C uL-1 g soil-1 week-1)</t>
  </si>
  <si>
    <t>Target concentration (g C/L)</t>
  </si>
  <si>
    <t>uMoles of C per g soil per week</t>
  </si>
  <si>
    <t>Molarity of carbon in target solution (mol C L-1)</t>
  </si>
  <si>
    <t>Molarity of substrate solution in target solution (mol substrate L-1)</t>
  </si>
  <si>
    <t>Total amount of light solution needed in mL (6 weeks 5ul per g, 6 g per jar, 32 jars)</t>
  </si>
  <si>
    <t>Total amount of heavy solution needed in mL (1 week, 5ul per g, 6 g per jar, 32 jars)</t>
  </si>
  <si>
    <t>Total amount of light solution to make a round number (ml)</t>
  </si>
  <si>
    <t>Total amount of heavy solution to make a round number (ml)</t>
  </si>
  <si>
    <t>relative molar proportion of compound(mol compound mol-mixture-1)</t>
  </si>
  <si>
    <t>molecular weight compound (g/mol)</t>
  </si>
  <si>
    <t>Molecular weight of labelled version (g/mol)</t>
  </si>
  <si>
    <t>carbon per molecule</t>
  </si>
  <si>
    <t>nitrogen per molecule</t>
  </si>
  <si>
    <t>g of carbon from substrate per mole of mixture (g C/ mol)</t>
  </si>
  <si>
    <t>g of nitrogen from substrate per mole of mixture (g N/ mol)</t>
  </si>
  <si>
    <t>proportion of carbon by weight from each substrate</t>
  </si>
  <si>
    <t>g of carbon from each substrate needed for final concentration of carbon in D3 (g C / L)</t>
  </si>
  <si>
    <t xml:space="preserve">moles of carbon from each substrate needed for final concentration in D3 (mol C L-1) </t>
  </si>
  <si>
    <t>moles of compound needed for final concentration in D3 (mol compound L-1)</t>
  </si>
  <si>
    <t>Weight of compound needed for 1 L final concentration (g compound L-1)</t>
  </si>
  <si>
    <t>Weight of compound in total solution needed over experiment (g)</t>
  </si>
  <si>
    <t>Weight of compound in total solution needed over experiment (mg)</t>
  </si>
  <si>
    <t>Weight of labelled compound needed for 1 L final concentration (g compound L-1)</t>
  </si>
  <si>
    <t>Weight of labelled compound in total solution needed over experiment (g)</t>
  </si>
  <si>
    <t>Weight of labelled compound in total solution needed over experiment (mg)</t>
  </si>
  <si>
    <t>Weight of unlabelled compound for paired solution (mg)</t>
  </si>
  <si>
    <t>Carbon</t>
  </si>
  <si>
    <t>Nitrogen</t>
  </si>
  <si>
    <t>C:N</t>
  </si>
  <si>
    <t>total element per mol litter soln (g/ mol):</t>
  </si>
  <si>
    <t>Sean added 10ug C per each daily addition</t>
  </si>
  <si>
    <t>70 ug C per week</t>
  </si>
  <si>
    <t>This is in line with corn stalk from review chapter:</t>
  </si>
  <si>
    <t>c9H9.36O4.5(OCH3)1.23</t>
  </si>
  <si>
    <t>final 10000x concentration (mgC L-1)</t>
  </si>
  <si>
    <t>1000x</t>
  </si>
  <si>
    <t>Molecular weight of labelled compount (g/mol)</t>
  </si>
  <si>
    <t>Weight of carbon in 1 molecule of compound</t>
  </si>
  <si>
    <t>Weight of nitrogen per one molecule of compound (gN molecule-1)</t>
  </si>
  <si>
    <t>carbon per 1 unit litter soln (gC unit litter soln)</t>
  </si>
  <si>
    <t>nitrogen per unit litter soln (gN unit litter soln)</t>
  </si>
  <si>
    <t>concentration litter compound in B3 solution (g L-1)</t>
  </si>
  <si>
    <t>concentration enriched litter compound in B3 solution(g L-1)</t>
  </si>
  <si>
    <t>g N L-1 per compound</t>
  </si>
  <si>
    <t>mg light C</t>
  </si>
  <si>
    <t>mg heavy C</t>
  </si>
  <si>
    <t>C9H10.2O3.4</t>
  </si>
  <si>
    <t>C12H22O11</t>
  </si>
  <si>
    <t>chitin</t>
  </si>
  <si>
    <t>(C8H15NO6)n</t>
  </si>
  <si>
    <t>Original percentages</t>
  </si>
  <si>
    <t>lign</t>
  </si>
  <si>
    <t>Molar mass multiplier</t>
  </si>
  <si>
    <t>cell</t>
  </si>
  <si>
    <t>total element per mol litter soln:</t>
  </si>
  <si>
    <t>chit</t>
  </si>
  <si>
    <t>~</t>
  </si>
  <si>
    <t>Carbon difference with exudate:</t>
  </si>
  <si>
    <t>x strong than needs to be</t>
  </si>
  <si>
    <t>10mg of 13C chitin = ~$2500</t>
  </si>
  <si>
    <t>Price</t>
  </si>
  <si>
    <t>Price per mg</t>
  </si>
  <si>
    <t>isolife</t>
  </si>
  <si>
    <t>0.1 U- 13C Cellulose high DP from maize (high purity)</t>
  </si>
  <si>
    <t>0.1g 13C fungal chitin</t>
  </si>
  <si>
    <t>Heavy soln to make up (mL)</t>
  </si>
  <si>
    <t>0.1g 13C lignin from Maize</t>
  </si>
  <si>
    <t>Amount of NA solution</t>
  </si>
  <si>
    <t>ml</t>
  </si>
  <si>
    <t>Amount of heavy solution</t>
  </si>
  <si>
    <t>BOC scie</t>
  </si>
  <si>
    <t>10mg 13C chitin from fungi</t>
  </si>
  <si>
    <t>0.05ml</t>
  </si>
  <si>
    <t>Aiming for C:N of 26ish</t>
  </si>
  <si>
    <t>32 jars</t>
  </si>
  <si>
    <t>8 jars</t>
  </si>
  <si>
    <t>or 60is if we think of roots</t>
  </si>
  <si>
    <t>47 days (doses)</t>
  </si>
  <si>
    <t>4 days</t>
  </si>
  <si>
    <t>6 tubes per jar</t>
  </si>
  <si>
    <t>4 tubes per jar</t>
  </si>
  <si>
    <t>1 g soil per tube</t>
  </si>
  <si>
    <t>Milipore sigma</t>
  </si>
  <si>
    <t>Target: 0.35 mg/ C substrate per g soil per week</t>
  </si>
  <si>
    <t xml:space="preserve">Above belowground biomass toolik lake: derived from https://iopscience.iop.org/article/10.1088/1748-9326/11/5/055003/pdf </t>
  </si>
  <si>
    <t>Study</t>
  </si>
  <si>
    <t>Habitat</t>
  </si>
  <si>
    <t>aboveground to belowground biomass ratio in control plot</t>
  </si>
  <si>
    <t>Gough et al 2012</t>
  </si>
  <si>
    <t>MAT</t>
  </si>
  <si>
    <t>Aboveground C:N</t>
  </si>
  <si>
    <t>Belowground C:N</t>
  </si>
  <si>
    <t xml:space="preserve">Weighted ratio target C:N </t>
  </si>
  <si>
    <t>Van wijk et al 2003</t>
  </si>
  <si>
    <t>NAMT</t>
  </si>
  <si>
    <t>Avg:</t>
  </si>
  <si>
    <t xml:space="preserve">Sean - hunch is to accruagely reflecft lgnin to cellulose rather than C:N </t>
  </si>
  <si>
    <t>40-60% oc carbon from leaf goes into metabolic pool in mimics</t>
  </si>
  <si>
    <t xml:space="preserve">Will: more worried about total carbon added; Don't add more carbon to make ratio correct. </t>
  </si>
  <si>
    <t>Sean: can decide on amount of chitin based fungi amounts I expect around</t>
  </si>
  <si>
    <t>wide mouth tips necessary for tips</t>
  </si>
  <si>
    <t>Could add weekly 1ce per week to add more</t>
  </si>
  <si>
    <t>add a total concentration</t>
  </si>
  <si>
    <t>and concentration of carbon</t>
  </si>
  <si>
    <t xml:space="preserve">lignin elemental composition of corn stover from: https://pubs.acs.org/doi/10.1021/acssuschemeng.6b01488 </t>
  </si>
  <si>
    <t>Element</t>
  </si>
  <si>
    <t>Molar Mass</t>
  </si>
  <si>
    <t>Percent weight</t>
  </si>
  <si>
    <t>percent/weight</t>
  </si>
  <si>
    <t>Ratio (Making C 9)</t>
  </si>
  <si>
    <t>N</t>
  </si>
  <si>
    <t>Chemical formula:</t>
  </si>
  <si>
    <t>C</t>
  </si>
  <si>
    <t>C9H8O3.87</t>
  </si>
  <si>
    <t>H</t>
  </si>
  <si>
    <t>S</t>
  </si>
  <si>
    <t>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</si>
</sst>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"/>
    <numFmt numFmtId="165" formatCode="0.000"/>
    <numFmt numFmtId="166" formatCode="0.0"/>
  </numFmts>
  <fonts count="22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rgb="FFF7981D"/>
      <name val="Arial"/>
      <scheme val="minor"/>
    </font>
    <font>
      <color rgb="FF11734B"/>
      <name val="Roboto"/>
    </font>
    <font>
      <color rgb="FFFFC8AA"/>
      <name val="Roboto"/>
    </font>
    <font>
      <color rgb="FF25271C"/>
      <name val="Roboto"/>
    </font>
    <font>
      <color rgb="FFFFCFC9"/>
      <name val="Roboto"/>
    </font>
    <font>
      <color rgb="FF434343"/>
      <name val="Roboto"/>
    </font>
    <font>
      <color rgb="FF263741"/>
      <name val="Roboto"/>
    </font>
    <font>
      <color rgb="FF5A3286"/>
      <name val="Roboto"/>
    </font>
    <font>
      <color rgb="FF3D3D3D"/>
      <name val="Roboto"/>
    </font>
    <font>
      <color rgb="FF473821"/>
      <name val="Roboto"/>
    </font>
    <font>
      <color rgb="FF215A6C"/>
      <name val="Roboto"/>
    </font>
    <font>
      <b/>
      <color theme="1"/>
      <name val="Arial"/>
      <scheme val="minor"/>
    </font>
    <font>
      <sz val="11.0"/>
      <color rgb="FF000000"/>
      <name val="&quot;Times New Roman&quot;"/>
    </font>
    <font>
      <sz val="8.0"/>
      <color theme="1"/>
      <name val="&quot;Liberation Sans&quot;"/>
    </font>
    <font>
      <sz val="8.0"/>
      <color theme="1"/>
      <name val="Arial"/>
    </font>
    <font>
      <u/>
      <color rgb="FF0000FF"/>
    </font>
    <font>
      <b/>
      <color theme="1"/>
      <name val="Arial"/>
    </font>
    <font>
      <color theme="1"/>
      <name val="Arial"/>
    </font>
    <font>
      <u/>
      <color rgb="FF1155CC"/>
      <name val="Arial"/>
    </font>
    <font>
      <sz val="9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4CCCC"/>
        <bgColor rgb="FFF4CCCC"/>
      </patternFill>
    </fill>
  </fills>
  <borders count="14">
    <border/>
    <border>
      <left style="thin">
        <color rgb="FF4A535C"/>
      </left>
      <right style="thin">
        <color rgb="FF626E7A"/>
      </right>
      <top style="thin">
        <color rgb="FF4A535C"/>
      </top>
      <bottom style="thin">
        <color rgb="FF4A535C"/>
      </bottom>
    </border>
    <border>
      <left style="thin">
        <color rgb="FF626E7A"/>
      </left>
      <right style="thin">
        <color rgb="FF626E7A"/>
      </right>
      <top style="thin">
        <color rgb="FF4A535C"/>
      </top>
      <bottom style="thin">
        <color rgb="FF4A535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626E7A"/>
      </left>
      <right style="thin">
        <color rgb="FF4A535C"/>
      </right>
      <top style="thin">
        <color rgb="FF4A535C"/>
      </top>
      <bottom style="thin">
        <color rgb="FF4A535C"/>
      </bottom>
    </border>
    <border>
      <left style="thin">
        <color rgb="FF4A535C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A535C"/>
      </right>
      <top style="thin">
        <color rgb="FFFFFFFF"/>
      </top>
      <bottom style="thin">
        <color rgb="FFFFFFFF"/>
      </bottom>
    </border>
    <border>
      <left style="thin">
        <color rgb="FF4A535C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A535C"/>
      </right>
      <top style="thin">
        <color rgb="FFF8F9FA"/>
      </top>
      <bottom style="thin">
        <color rgb="FFF8F9FA"/>
      </bottom>
    </border>
    <border>
      <left style="thin">
        <color rgb="FF4A535C"/>
      </left>
      <right style="thin">
        <color rgb="FFF8F9FA"/>
      </right>
      <top style="thin">
        <color rgb="FFF8F9FA"/>
      </top>
      <bottom style="thin">
        <color rgb="FF4A535C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A535C"/>
      </bottom>
    </border>
    <border>
      <left style="thin">
        <color rgb="FFF8F9FA"/>
      </left>
      <right style="thin">
        <color rgb="FF4A535C"/>
      </right>
      <top style="thin">
        <color rgb="FFF8F9FA"/>
      </top>
      <bottom style="thin">
        <color rgb="FF4A535C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horizontal="left" readingOrder="0" shrinkToFit="0" vertical="center" wrapText="0"/>
    </xf>
    <xf borderId="5" fillId="0" fontId="1" numFmtId="49" xfId="0" applyAlignment="1" applyBorder="1" applyFont="1" applyNumberFormat="1">
      <alignment shrinkToFit="0" vertical="center" wrapText="0"/>
    </xf>
    <xf borderId="6" fillId="0" fontId="2" numFmtId="49" xfId="0" applyAlignment="1" applyBorder="1" applyFont="1" applyNumberFormat="1">
      <alignment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3" fillId="0" fontId="1" numFmtId="0" xfId="0" applyAlignment="1" applyBorder="1" applyFont="1">
      <alignment shrinkToFit="0" vertical="center" wrapText="0"/>
    </xf>
    <xf borderId="3" fillId="0" fontId="1" numFmtId="1" xfId="0" applyAlignment="1" applyBorder="1" applyFont="1" applyNumberFormat="1">
      <alignment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3" fillId="0" fontId="1" numFmtId="1" xfId="0" applyAlignment="1" applyBorder="1" applyFont="1" applyNumberFormat="1">
      <alignment readingOrder="0" shrinkToFit="0" vertical="center" wrapText="0"/>
    </xf>
    <xf borderId="3" fillId="0" fontId="1" numFmtId="4" xfId="0" applyAlignment="1" applyBorder="1" applyFont="1" applyNumberFormat="1">
      <alignment readingOrder="0" shrinkToFit="0" vertical="center" wrapText="0"/>
    </xf>
    <xf borderId="6" fillId="0" fontId="1" numFmtId="4" xfId="0" applyAlignment="1" applyBorder="1" applyFont="1" applyNumberFormat="1">
      <alignment shrinkToFit="0" vertical="center" wrapText="0"/>
    </xf>
    <xf borderId="7" fillId="0" fontId="1" numFmtId="0" xfId="0" applyAlignment="1" applyBorder="1" applyFont="1">
      <alignment shrinkToFit="0" vertical="center" wrapText="0"/>
    </xf>
    <xf borderId="8" fillId="0" fontId="1" numFmtId="49" xfId="0" applyAlignment="1" applyBorder="1" applyFont="1" applyNumberFormat="1">
      <alignment shrinkToFit="0" vertical="center" wrapText="0"/>
    </xf>
    <xf borderId="9" fillId="0" fontId="1" numFmtId="49" xfId="0" applyAlignment="1" applyBorder="1" applyFont="1" applyNumberFormat="1">
      <alignment shrinkToFit="0" vertical="center" wrapText="0"/>
    </xf>
    <xf borderId="9" fillId="0" fontId="1" numFmtId="4" xfId="0" applyAlignment="1" applyBorder="1" applyFont="1" applyNumberFormat="1">
      <alignment shrinkToFit="0" vertical="center" wrapText="0"/>
    </xf>
    <xf borderId="10" fillId="0" fontId="1" numFmtId="0" xfId="0" applyAlignment="1" applyBorder="1" applyFont="1">
      <alignment shrinkToFit="0" vertical="center" wrapText="0"/>
    </xf>
    <xf borderId="6" fillId="0" fontId="1" numFmtId="49" xfId="0" applyAlignment="1" applyBorder="1" applyFont="1" applyNumberFormat="1">
      <alignment shrinkToFit="0" vertical="center" wrapText="0"/>
    </xf>
    <xf borderId="3" fillId="2" fontId="3" numFmtId="0" xfId="0" applyAlignment="1" applyBorder="1" applyFill="1" applyFont="1">
      <alignment readingOrder="0" shrinkToFit="0" vertical="center" wrapText="0"/>
    </xf>
    <xf borderId="3" fillId="2" fontId="4" numFmtId="0" xfId="0" applyAlignment="1" applyBorder="1" applyFont="1">
      <alignment shrinkToFit="0" vertical="center" wrapText="0"/>
    </xf>
    <xf borderId="3" fillId="2" fontId="5" numFmtId="0" xfId="0" applyAlignment="1" applyBorder="1" applyFont="1">
      <alignment shrinkToFit="0" vertical="center" wrapText="0"/>
    </xf>
    <xf borderId="3" fillId="2" fontId="6" numFmtId="0" xfId="0" applyAlignment="1" applyBorder="1" applyFont="1">
      <alignment shrinkToFit="0" vertical="center" wrapText="0"/>
    </xf>
    <xf borderId="3" fillId="2" fontId="7" numFmtId="0" xfId="0" applyAlignment="1" applyBorder="1" applyFont="1">
      <alignment shrinkToFit="0" vertical="center" wrapText="0"/>
    </xf>
    <xf borderId="3" fillId="2" fontId="8" numFmtId="0" xfId="0" applyAlignment="1" applyBorder="1" applyFont="1">
      <alignment shrinkToFit="0" vertical="center" wrapText="0"/>
    </xf>
    <xf borderId="3" fillId="3" fontId="4" numFmtId="0" xfId="0" applyAlignment="1" applyBorder="1" applyFill="1" applyFont="1">
      <alignment shrinkToFit="0" vertical="center" wrapText="0"/>
    </xf>
    <xf borderId="3" fillId="3" fontId="5" numFmtId="0" xfId="0" applyAlignment="1" applyBorder="1" applyFont="1">
      <alignment shrinkToFit="0" vertical="center" wrapText="0"/>
    </xf>
    <xf borderId="3" fillId="3" fontId="7" numFmtId="0" xfId="0" applyAlignment="1" applyBorder="1" applyFont="1">
      <alignment shrinkToFit="0" vertical="center" wrapText="0"/>
    </xf>
    <xf borderId="3" fillId="3" fontId="8" numFmtId="0" xfId="0" applyAlignment="1" applyBorder="1" applyFont="1">
      <alignment shrinkToFit="0" vertical="center" wrapText="0"/>
    </xf>
    <xf borderId="3" fillId="3" fontId="9" numFmtId="0" xfId="0" applyAlignment="1" applyBorder="1" applyFont="1">
      <alignment shrinkToFit="0" vertical="center" wrapText="0"/>
    </xf>
    <xf borderId="3" fillId="3" fontId="6" numFmtId="0" xfId="0" applyAlignment="1" applyBorder="1" applyFont="1">
      <alignment shrinkToFit="0" vertical="center" wrapText="0"/>
    </xf>
    <xf borderId="0" fillId="0" fontId="1" numFmtId="0" xfId="0" applyAlignment="1" applyFont="1">
      <alignment readingOrder="0"/>
    </xf>
    <xf borderId="3" fillId="2" fontId="9" numFmtId="0" xfId="0" applyAlignment="1" applyBorder="1" applyFont="1">
      <alignment shrinkToFit="0" vertical="center" wrapText="0"/>
    </xf>
    <xf borderId="3" fillId="2" fontId="10" numFmtId="0" xfId="0" applyAlignment="1" applyBorder="1" applyFont="1">
      <alignment shrinkToFit="0" vertical="center" wrapText="0"/>
    </xf>
    <xf borderId="3" fillId="2" fontId="7" numFmtId="0" xfId="0" applyAlignment="1" applyBorder="1" applyFont="1">
      <alignment shrinkToFit="0" vertical="center" wrapText="0"/>
    </xf>
    <xf borderId="3" fillId="3" fontId="10" numFmtId="0" xfId="0" applyAlignment="1" applyBorder="1" applyFont="1">
      <alignment shrinkToFit="0" vertical="center" wrapText="0"/>
    </xf>
    <xf borderId="3" fillId="3" fontId="7" numFmtId="0" xfId="0" applyAlignment="1" applyBorder="1" applyFont="1">
      <alignment shrinkToFit="0" vertical="center" wrapText="0"/>
    </xf>
    <xf borderId="3" fillId="2" fontId="6" numFmtId="0" xfId="0" applyAlignment="1" applyBorder="1" applyFont="1">
      <alignment readingOrder="0" shrinkToFit="0" vertical="center" wrapText="0"/>
    </xf>
    <xf borderId="3" fillId="3" fontId="4" numFmtId="0" xfId="0" applyAlignment="1" applyBorder="1" applyFont="1">
      <alignment readingOrder="0" shrinkToFit="0" vertical="center" wrapText="0"/>
    </xf>
    <xf borderId="3" fillId="2" fontId="4" numFmtId="0" xfId="0" applyAlignment="1" applyBorder="1" applyFont="1">
      <alignment readingOrder="0" shrinkToFit="0" vertical="center" wrapText="0"/>
    </xf>
    <xf borderId="3" fillId="2" fontId="5" numFmtId="0" xfId="0" applyAlignment="1" applyBorder="1" applyFont="1">
      <alignment readingOrder="0" shrinkToFit="0" vertical="center" wrapText="0"/>
    </xf>
    <xf borderId="3" fillId="2" fontId="3" numFmtId="0" xfId="0" applyAlignment="1" applyBorder="1" applyFont="1">
      <alignment shrinkToFit="0" vertical="center" wrapText="0"/>
    </xf>
    <xf borderId="3" fillId="2" fontId="8" numFmtId="0" xfId="0" applyAlignment="1" applyBorder="1" applyFont="1">
      <alignment readingOrder="0" shrinkToFit="0" vertical="center" wrapText="0"/>
    </xf>
    <xf borderId="3" fillId="3" fontId="3" numFmtId="0" xfId="0" applyAlignment="1" applyBorder="1" applyFont="1">
      <alignment shrinkToFit="0" vertical="center" wrapText="0"/>
    </xf>
    <xf borderId="3" fillId="2" fontId="11" numFmtId="0" xfId="0" applyAlignment="1" applyBorder="1" applyFont="1">
      <alignment shrinkToFit="0" vertical="center" wrapText="0"/>
    </xf>
    <xf borderId="3" fillId="3" fontId="11" numFmtId="0" xfId="0" applyAlignment="1" applyBorder="1" applyFont="1">
      <alignment shrinkToFit="0" vertical="center" wrapText="0"/>
    </xf>
    <xf borderId="3" fillId="2" fontId="12" numFmtId="0" xfId="0" applyAlignment="1" applyBorder="1" applyFont="1">
      <alignment shrinkToFit="0" vertical="center" wrapText="0"/>
    </xf>
    <xf borderId="3" fillId="3" fontId="12" numFmtId="0" xfId="0" applyAlignment="1" applyBorder="1" applyFont="1">
      <alignment shrinkToFit="0" vertical="center" wrapText="0"/>
    </xf>
    <xf borderId="3" fillId="2" fontId="3" numFmtId="0" xfId="0" applyAlignment="1" applyBorder="1" applyFont="1">
      <alignment shrinkToFit="0" vertical="center" wrapText="0"/>
    </xf>
    <xf borderId="3" fillId="3" fontId="5" numFmtId="0" xfId="0" applyAlignment="1" applyBorder="1" applyFont="1">
      <alignment readingOrder="0" shrinkToFit="0" vertical="center" wrapText="0"/>
    </xf>
    <xf borderId="11" fillId="0" fontId="1" numFmtId="49" xfId="0" applyAlignment="1" applyBorder="1" applyFont="1" applyNumberFormat="1">
      <alignment shrinkToFit="0" vertical="center" wrapText="0"/>
    </xf>
    <xf borderId="12" fillId="0" fontId="1" numFmtId="49" xfId="0" applyAlignment="1" applyBorder="1" applyFont="1" applyNumberFormat="1">
      <alignment shrinkToFit="0" vertical="center" wrapText="0"/>
    </xf>
    <xf borderId="12" fillId="0" fontId="1" numFmtId="4" xfId="0" applyAlignment="1" applyBorder="1" applyFont="1" applyNumberFormat="1">
      <alignment shrinkToFit="0" vertical="center" wrapText="0"/>
    </xf>
    <xf borderId="13" fillId="0" fontId="1" numFmtId="0" xfId="0" applyAlignment="1" applyBorder="1" applyFont="1">
      <alignment shrinkToFit="0" vertical="center" wrapText="0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15" numFmtId="0" xfId="0" applyAlignment="1" applyFont="1">
      <alignment horizontal="left" readingOrder="0"/>
    </xf>
    <xf borderId="0" fillId="0" fontId="16" numFmtId="0" xfId="0" applyAlignment="1" applyFont="1">
      <alignment horizontal="left" readingOrder="0"/>
    </xf>
    <xf borderId="0" fillId="0" fontId="15" numFmtId="0" xfId="0" applyAlignment="1" applyFont="1">
      <alignment horizontal="right" readingOrder="0"/>
    </xf>
    <xf borderId="0" fillId="0" fontId="17" numFmtId="0" xfId="0" applyAlignment="1" applyFont="1">
      <alignment readingOrder="0"/>
    </xf>
    <xf borderId="0" fillId="0" fontId="18" numFmtId="0" xfId="0" applyAlignment="1" applyFont="1">
      <alignment readingOrder="0" vertical="bottom"/>
    </xf>
    <xf borderId="0" fillId="0" fontId="19" numFmtId="0" xfId="0" applyAlignment="1" applyFont="1">
      <alignment vertical="bottom"/>
    </xf>
    <xf borderId="0" fillId="0" fontId="19" numFmtId="0" xfId="0" applyAlignment="1" applyFont="1">
      <alignment horizontal="right" readingOrder="0" vertical="bottom"/>
    </xf>
    <xf borderId="0" fillId="0" fontId="19" numFmtId="0" xfId="0" applyAlignment="1" applyFont="1">
      <alignment horizontal="right" vertical="bottom"/>
    </xf>
    <xf borderId="0" fillId="0" fontId="19" numFmtId="0" xfId="0" applyAlignment="1" applyFont="1">
      <alignment readingOrder="0" vertical="bottom"/>
    </xf>
    <xf borderId="0" fillId="0" fontId="19" numFmtId="0" xfId="0" applyAlignment="1" applyFont="1">
      <alignment shrinkToFit="0" vertical="bottom" wrapText="1"/>
    </xf>
    <xf borderId="0" fillId="0" fontId="19" numFmtId="0" xfId="0" applyAlignment="1" applyFont="1">
      <alignment readingOrder="0" shrinkToFit="0" vertical="bottom" wrapText="1"/>
    </xf>
    <xf borderId="0" fillId="0" fontId="19" numFmtId="164" xfId="0" applyAlignment="1" applyFont="1" applyNumberFormat="1">
      <alignment horizontal="right" vertical="bottom"/>
    </xf>
    <xf borderId="0" fillId="0" fontId="19" numFmtId="165" xfId="0" applyAlignment="1" applyFont="1" applyNumberFormat="1">
      <alignment horizontal="right" vertical="bottom"/>
    </xf>
    <xf borderId="0" fillId="0" fontId="19" numFmtId="166" xfId="0" applyAlignment="1" applyFont="1" applyNumberFormat="1">
      <alignment horizontal="right" vertical="bottom"/>
    </xf>
    <xf borderId="0" fillId="0" fontId="20" numFmtId="0" xfId="0" applyAlignment="1" applyFont="1">
      <alignment vertical="bottom"/>
    </xf>
    <xf borderId="0" fillId="0" fontId="18" numFmtId="0" xfId="0" applyAlignment="1" applyFont="1">
      <alignment horizontal="right" vertical="bottom"/>
    </xf>
    <xf borderId="0" fillId="0" fontId="1" numFmtId="0" xfId="0" applyFont="1"/>
    <xf borderId="0" fillId="0" fontId="1" numFmtId="0" xfId="0" applyAlignment="1" applyFont="1">
      <alignment readingOrder="0" shrinkToFit="0" wrapText="1"/>
    </xf>
    <xf borderId="0" fillId="0" fontId="18" numFmtId="0" xfId="0" applyAlignment="1" applyFont="1">
      <alignment shrinkToFit="0" vertical="bottom" wrapText="1"/>
    </xf>
    <xf borderId="0" fillId="0" fontId="18" numFmtId="0" xfId="0" applyAlignment="1" applyFont="1">
      <alignment vertical="bottom"/>
    </xf>
    <xf borderId="0" fillId="0" fontId="18" numFmtId="0" xfId="0" applyAlignment="1" applyFont="1">
      <alignment readingOrder="0" shrinkToFit="0" vertical="bottom" wrapText="1"/>
    </xf>
    <xf borderId="0" fillId="0" fontId="18" numFmtId="0" xfId="0" applyAlignment="1" applyFont="1">
      <alignment shrinkToFit="0" vertical="bottom" wrapText="1"/>
    </xf>
    <xf borderId="0" fillId="0" fontId="19" numFmtId="0" xfId="0" applyAlignment="1" applyFont="1">
      <alignment horizontal="right" vertical="bottom"/>
    </xf>
    <xf borderId="0" fillId="0" fontId="21" numFmtId="0" xfId="0" applyFont="1"/>
    <xf borderId="0" fillId="4" fontId="19" numFmtId="0" xfId="0" applyAlignment="1" applyFill="1" applyFont="1">
      <alignment horizontal="right" vertical="bottom"/>
    </xf>
    <xf borderId="0" fillId="4" fontId="21" numFmtId="0" xfId="0" applyFont="1"/>
    <xf borderId="0" fillId="0" fontId="1" numFmtId="4" xfId="0" applyAlignment="1" applyFont="1" applyNumberFormat="1">
      <alignment readingOrder="0"/>
    </xf>
    <xf borderId="0" fillId="0" fontId="13" numFmtId="3" xfId="0" applyAlignment="1" applyFont="1" applyNumberFormat="1">
      <alignment readingOrder="0"/>
    </xf>
    <xf borderId="0" fillId="0" fontId="13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Sample Inventory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P505" displayName="Inventory_tracker1" name="Inventory_tracker1" id="1">
  <tableColumns count="16">
    <tableColumn name="Item ID" id="1"/>
    <tableColumn name="Item name" id="2"/>
    <tableColumn name="Microbial Community" id="3"/>
    <tableColumn name="Carbon Source" id="4"/>
    <tableColumn name="Oxygen Isotope" id="5"/>
    <tableColumn name="Carbon Isotope" id="6"/>
    <tableColumn name="Isotope Combo" id="7"/>
    <tableColumn name="Replicate" id="8"/>
    <tableColumn name="Jar" id="9"/>
    <tableColumn name="Jar Number" id="10"/>
    <tableColumn name="Jar Label" id="11"/>
    <tableColumn name="Subsample (?)" id="12"/>
    <tableColumn name="TubeNumber" id="13"/>
    <tableColumn name="Sample Weight (g)" id="14"/>
    <tableColumn name="Jar Sample weight" id="15"/>
    <tableColumn name="Dry weight equivalent assuming gwc 0.569)" id="16"/>
  </tableColumns>
  <tableStyleInfo name="Sample Invento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en.wikipedia.org/wiki/Carbon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pubchem.ncbi.nlm.nih.gov/" TargetMode="External"/><Relationship Id="rId3" Type="http://schemas.openxmlformats.org/officeDocument/2006/relationships/hyperlink" Target="https://www.sciencedirect.com/science/article/pii/S0016706117311357" TargetMode="Externa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pubchem.ncbi.nlm.nih.gov/" TargetMode="External"/><Relationship Id="rId3" Type="http://schemas.openxmlformats.org/officeDocument/2006/relationships/drawing" Target="../drawings/drawing6.xml"/><Relationship Id="rId4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link.springer.com/10.1007/s12155-017-9861-4" TargetMode="External"/><Relationship Id="rId2" Type="http://schemas.openxmlformats.org/officeDocument/2006/relationships/hyperlink" Target="https://pubchem.ncbi.nlm.nih.gov/compound/6857375" TargetMode="External"/><Relationship Id="rId3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link.springer.com/10.1007/s12155-017-9861-4" TargetMode="External"/><Relationship Id="rId2" Type="http://schemas.openxmlformats.org/officeDocument/2006/relationships/hyperlink" Target="https://pubchem.ncbi.nlm.nih.gov/compound/6857375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7.0" ySplit="1.0" topLeftCell="H2" activePane="bottomRight" state="frozen"/>
      <selection activeCell="H1" sqref="H1" pane="topRight"/>
      <selection activeCell="A2" sqref="A2" pane="bottomLeft"/>
      <selection activeCell="H2" sqref="H2" pane="bottomRight"/>
    </sheetView>
  </sheetViews>
  <sheetFormatPr customHeight="1" defaultColWidth="12.63" defaultRowHeight="15.75"/>
  <cols>
    <col customWidth="1" hidden="1" min="1" max="1" width="13.5"/>
    <col customWidth="1" hidden="1" min="2" max="2" width="15.88"/>
    <col customWidth="1" min="3" max="3" width="22.13"/>
    <col customWidth="1" min="4" max="4" width="15.13"/>
    <col customWidth="1" min="5" max="5" width="17.25"/>
    <col customWidth="1" min="6" max="6" width="16.88"/>
    <col customWidth="1" min="7" max="8" width="15.13"/>
    <col customWidth="1" min="9" max="9" width="9.63"/>
    <col customWidth="1" min="10" max="10" width="9.0"/>
    <col customWidth="1" min="11" max="11" width="17.13"/>
    <col customWidth="1" min="12" max="12" width="19.88"/>
    <col customWidth="1" min="13" max="14" width="17.2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5" t="s">
        <v>15</v>
      </c>
    </row>
    <row r="2">
      <c r="A2" s="6"/>
      <c r="B2" s="7"/>
      <c r="C2" s="8" t="s">
        <v>16</v>
      </c>
      <c r="D2" s="8" t="s">
        <v>17</v>
      </c>
      <c r="E2" s="8" t="s">
        <v>18</v>
      </c>
      <c r="F2" s="8" t="s">
        <v>19</v>
      </c>
      <c r="G2" s="9" t="str">
        <f t="shared" ref="G2:G505" si="1">TEXTJOIN("_",TRUE, E2:F2)</f>
        <v>16O_13C</v>
      </c>
      <c r="H2" s="8" t="s">
        <v>20</v>
      </c>
      <c r="I2" s="10">
        <v>1.0</v>
      </c>
      <c r="J2" s="11" t="s">
        <v>21</v>
      </c>
      <c r="K2" s="12" t="str">
        <f>IFERROR(__xludf.DUMMYFUNCTION("TEXTJOIN("""",TRUE, REGEXEXTRACT(J2, ""\d+""),""-"",LEFT(C2,3),""-"",LEFT(D2),""-"",LEFT(E2,2),LEFT(F2,2), ""-R"",REGEXEXTRACT(H2, ""\d+"") )"),"1-Rhi-L-1613-R1")</f>
        <v>1-Rhi-L-1613-R1</v>
      </c>
      <c r="L2" s="8" t="s">
        <v>22</v>
      </c>
      <c r="M2" s="13">
        <v>1.0</v>
      </c>
      <c r="N2" s="14">
        <v>1.12</v>
      </c>
      <c r="O2" s="15">
        <f>SUM(N2:N7)</f>
        <v>6.74</v>
      </c>
      <c r="P2" s="16">
        <f t="shared" ref="P2:P505" si="2">O2/1.569</f>
        <v>4.295729764</v>
      </c>
    </row>
    <row r="3">
      <c r="A3" s="17"/>
      <c r="B3" s="18"/>
      <c r="C3" s="8" t="s">
        <v>16</v>
      </c>
      <c r="D3" s="8" t="s">
        <v>17</v>
      </c>
      <c r="E3" s="8" t="s">
        <v>18</v>
      </c>
      <c r="F3" s="8" t="s">
        <v>19</v>
      </c>
      <c r="G3" s="9" t="str">
        <f t="shared" si="1"/>
        <v>16O_13C</v>
      </c>
      <c r="H3" s="8" t="s">
        <v>20</v>
      </c>
      <c r="I3" s="10">
        <v>1.0</v>
      </c>
      <c r="J3" s="11" t="s">
        <v>21</v>
      </c>
      <c r="K3" s="12" t="str">
        <f>IFERROR(__xludf.DUMMYFUNCTION("TEXTJOIN("""",TRUE, REGEXEXTRACT(J3, ""\d+""),""-"",LEFT(C3,3),""-"",LEFT(D3),""-"",LEFT(E3,2),LEFT(F3,2), ""-R"",REGEXEXTRACT(H3, ""\d+"") )"),"1-Rhi-L-1613-R1")</f>
        <v>1-Rhi-L-1613-R1</v>
      </c>
      <c r="L3" s="8" t="s">
        <v>23</v>
      </c>
      <c r="M3" s="13">
        <v>2.0</v>
      </c>
      <c r="N3" s="14">
        <v>1.09</v>
      </c>
      <c r="O3" s="19">
        <f>SUM(N2:N7)</f>
        <v>6.74</v>
      </c>
      <c r="P3" s="20">
        <f t="shared" si="2"/>
        <v>4.295729764</v>
      </c>
    </row>
    <row r="4">
      <c r="A4" s="6"/>
      <c r="B4" s="21"/>
      <c r="C4" s="8" t="s">
        <v>16</v>
      </c>
      <c r="D4" s="8" t="s">
        <v>17</v>
      </c>
      <c r="E4" s="8" t="s">
        <v>18</v>
      </c>
      <c r="F4" s="8" t="s">
        <v>19</v>
      </c>
      <c r="G4" s="9" t="str">
        <f t="shared" si="1"/>
        <v>16O_13C</v>
      </c>
      <c r="H4" s="8" t="s">
        <v>20</v>
      </c>
      <c r="I4" s="10">
        <v>1.0</v>
      </c>
      <c r="J4" s="11" t="s">
        <v>21</v>
      </c>
      <c r="K4" s="12" t="str">
        <f>IFERROR(__xludf.DUMMYFUNCTION("TEXTJOIN("""",TRUE, REGEXEXTRACT(J4, ""\d+""),""-"",LEFT(C4,3),""-"",LEFT(D4),""-"",LEFT(E4,2),LEFT(F4,2), ""-R"",REGEXEXTRACT(H4, ""\d+"") )"),"1-Rhi-L-1613-R1")</f>
        <v>1-Rhi-L-1613-R1</v>
      </c>
      <c r="L4" s="8" t="s">
        <v>24</v>
      </c>
      <c r="M4" s="13">
        <v>3.0</v>
      </c>
      <c r="N4" s="14">
        <v>1.13</v>
      </c>
      <c r="O4" s="15">
        <f>SUM(N2:N7)</f>
        <v>6.74</v>
      </c>
      <c r="P4" s="16">
        <f t="shared" si="2"/>
        <v>4.295729764</v>
      </c>
    </row>
    <row r="5">
      <c r="A5" s="17"/>
      <c r="B5" s="18"/>
      <c r="C5" s="8" t="s">
        <v>16</v>
      </c>
      <c r="D5" s="8" t="s">
        <v>17</v>
      </c>
      <c r="E5" s="8" t="s">
        <v>18</v>
      </c>
      <c r="F5" s="8" t="s">
        <v>19</v>
      </c>
      <c r="G5" s="9" t="str">
        <f t="shared" si="1"/>
        <v>16O_13C</v>
      </c>
      <c r="H5" s="8" t="s">
        <v>20</v>
      </c>
      <c r="I5" s="10">
        <v>1.0</v>
      </c>
      <c r="J5" s="11" t="s">
        <v>21</v>
      </c>
      <c r="K5" s="12" t="str">
        <f>IFERROR(__xludf.DUMMYFUNCTION("TEXTJOIN("""",TRUE, REGEXEXTRACT(J5, ""\d+""),""-"",LEFT(C5,3),""-"",LEFT(D5),""-"",LEFT(E5,2),LEFT(F5,2), ""-R"",REGEXEXTRACT(H5, ""\d+"") )"),"1-Rhi-L-1613-R1")</f>
        <v>1-Rhi-L-1613-R1</v>
      </c>
      <c r="L5" s="8" t="s">
        <v>25</v>
      </c>
      <c r="M5" s="13">
        <v>4.0</v>
      </c>
      <c r="N5" s="14">
        <v>1.17</v>
      </c>
      <c r="O5" s="19">
        <f>SUM(N2:N7)</f>
        <v>6.74</v>
      </c>
      <c r="P5" s="20">
        <f t="shared" si="2"/>
        <v>4.295729764</v>
      </c>
    </row>
    <row r="6">
      <c r="A6" s="6"/>
      <c r="B6" s="21"/>
      <c r="C6" s="8" t="s">
        <v>16</v>
      </c>
      <c r="D6" s="8" t="s">
        <v>17</v>
      </c>
      <c r="E6" s="8" t="s">
        <v>18</v>
      </c>
      <c r="F6" s="8" t="s">
        <v>19</v>
      </c>
      <c r="G6" s="9" t="str">
        <f t="shared" si="1"/>
        <v>16O_13C</v>
      </c>
      <c r="H6" s="8" t="s">
        <v>20</v>
      </c>
      <c r="I6" s="10">
        <v>1.0</v>
      </c>
      <c r="J6" s="11" t="s">
        <v>21</v>
      </c>
      <c r="K6" s="12" t="str">
        <f>IFERROR(__xludf.DUMMYFUNCTION("TEXTJOIN("""",TRUE, REGEXEXTRACT(J6, ""\d+""),""-"",LEFT(C6,3),""-"",LEFT(D6),""-"",LEFT(E6,2),LEFT(F6,2), ""-R"",REGEXEXTRACT(H6, ""\d+"") )"),"1-Rhi-L-1613-R1")</f>
        <v>1-Rhi-L-1613-R1</v>
      </c>
      <c r="L6" s="8" t="s">
        <v>26</v>
      </c>
      <c r="M6" s="13">
        <v>5.0</v>
      </c>
      <c r="N6" s="14">
        <v>1.14</v>
      </c>
      <c r="O6" s="15">
        <f>SUM(N2:N7)</f>
        <v>6.74</v>
      </c>
      <c r="P6" s="16">
        <f t="shared" si="2"/>
        <v>4.295729764</v>
      </c>
    </row>
    <row r="7">
      <c r="A7" s="17"/>
      <c r="B7" s="18"/>
      <c r="C7" s="8" t="s">
        <v>16</v>
      </c>
      <c r="D7" s="8" t="s">
        <v>17</v>
      </c>
      <c r="E7" s="8" t="s">
        <v>18</v>
      </c>
      <c r="F7" s="8" t="s">
        <v>19</v>
      </c>
      <c r="G7" s="9" t="str">
        <f t="shared" si="1"/>
        <v>16O_13C</v>
      </c>
      <c r="H7" s="8" t="s">
        <v>20</v>
      </c>
      <c r="I7" s="10">
        <v>1.0</v>
      </c>
      <c r="J7" s="11" t="s">
        <v>21</v>
      </c>
      <c r="K7" s="12" t="str">
        <f>IFERROR(__xludf.DUMMYFUNCTION("TEXTJOIN("""",TRUE, REGEXEXTRACT(J7, ""\d+""),""-"",LEFT(C7,3),""-"",LEFT(D7),""-"",LEFT(E7,2),LEFT(F7,2), ""-R"",REGEXEXTRACT(H7, ""\d+"") )"),"1-Rhi-L-1613-R1")</f>
        <v>1-Rhi-L-1613-R1</v>
      </c>
      <c r="L7" s="8" t="s">
        <v>27</v>
      </c>
      <c r="M7" s="13">
        <v>6.0</v>
      </c>
      <c r="N7" s="14">
        <v>1.09</v>
      </c>
      <c r="O7" s="19">
        <f>SUM(N2:N7)</f>
        <v>6.74</v>
      </c>
      <c r="P7" s="20">
        <f t="shared" si="2"/>
        <v>4.295729764</v>
      </c>
    </row>
    <row r="8">
      <c r="A8" s="6"/>
      <c r="B8" s="21"/>
      <c r="C8" s="8" t="s">
        <v>16</v>
      </c>
      <c r="D8" s="8" t="s">
        <v>17</v>
      </c>
      <c r="E8" s="8" t="s">
        <v>18</v>
      </c>
      <c r="F8" s="8" t="s">
        <v>28</v>
      </c>
      <c r="G8" s="9" t="str">
        <f t="shared" si="1"/>
        <v>16O_12C</v>
      </c>
      <c r="H8" s="8" t="s">
        <v>20</v>
      </c>
      <c r="I8" s="10">
        <v>2.0</v>
      </c>
      <c r="J8" s="11" t="s">
        <v>29</v>
      </c>
      <c r="K8" s="12" t="str">
        <f>IFERROR(__xludf.DUMMYFUNCTION("TEXTJOIN("""",TRUE, REGEXEXTRACT(J8, ""\d+""),""-"",LEFT(C8,3),""-"",LEFT(D8),""-"",LEFT(E8,2),LEFT(F8,2), ""-R"",REGEXEXTRACT(H8, ""\d+"") )"),"2-Rhi-L-1612-R1")</f>
        <v>2-Rhi-L-1612-R1</v>
      </c>
      <c r="L8" s="8" t="s">
        <v>22</v>
      </c>
      <c r="M8" s="13">
        <v>1.0</v>
      </c>
      <c r="N8" s="14">
        <v>1.14</v>
      </c>
      <c r="O8" s="15">
        <f>SUM(N8:N13)</f>
        <v>6.79</v>
      </c>
      <c r="P8" s="16">
        <f t="shared" si="2"/>
        <v>4.327597196</v>
      </c>
    </row>
    <row r="9">
      <c r="A9" s="17"/>
      <c r="B9" s="18"/>
      <c r="C9" s="8" t="s">
        <v>16</v>
      </c>
      <c r="D9" s="8" t="s">
        <v>17</v>
      </c>
      <c r="E9" s="8" t="s">
        <v>18</v>
      </c>
      <c r="F9" s="8" t="s">
        <v>28</v>
      </c>
      <c r="G9" s="9" t="str">
        <f t="shared" si="1"/>
        <v>16O_12C</v>
      </c>
      <c r="H9" s="8" t="s">
        <v>20</v>
      </c>
      <c r="I9" s="10">
        <v>2.0</v>
      </c>
      <c r="J9" s="11" t="s">
        <v>29</v>
      </c>
      <c r="K9" s="12" t="str">
        <f>IFERROR(__xludf.DUMMYFUNCTION("TEXTJOIN("""",TRUE, REGEXEXTRACT(J9, ""\d+""),""-"",LEFT(C9,3),""-"",LEFT(D9),""-"",LEFT(E9,2),LEFT(F9,2), ""-R"",REGEXEXTRACT(H9, ""\d+"") )"),"2-Rhi-L-1612-R1")</f>
        <v>2-Rhi-L-1612-R1</v>
      </c>
      <c r="L9" s="8" t="s">
        <v>23</v>
      </c>
      <c r="M9" s="13">
        <v>2.0</v>
      </c>
      <c r="N9" s="14">
        <v>1.15</v>
      </c>
      <c r="O9" s="19">
        <f>SUM(N8:N13)</f>
        <v>6.79</v>
      </c>
      <c r="P9" s="20">
        <f t="shared" si="2"/>
        <v>4.327597196</v>
      </c>
    </row>
    <row r="10">
      <c r="A10" s="6"/>
      <c r="B10" s="21"/>
      <c r="C10" s="8" t="s">
        <v>16</v>
      </c>
      <c r="D10" s="8" t="s">
        <v>17</v>
      </c>
      <c r="E10" s="8" t="s">
        <v>18</v>
      </c>
      <c r="F10" s="8" t="s">
        <v>28</v>
      </c>
      <c r="G10" s="9" t="str">
        <f t="shared" si="1"/>
        <v>16O_12C</v>
      </c>
      <c r="H10" s="8" t="s">
        <v>20</v>
      </c>
      <c r="I10" s="10">
        <v>2.0</v>
      </c>
      <c r="J10" s="11" t="s">
        <v>29</v>
      </c>
      <c r="K10" s="12" t="str">
        <f>IFERROR(__xludf.DUMMYFUNCTION("TEXTJOIN("""",TRUE, REGEXEXTRACT(J10, ""\d+""),""-"",LEFT(C10,3),""-"",LEFT(D10),""-"",LEFT(E10,2),LEFT(F10,2), ""-R"",REGEXEXTRACT(H10, ""\d+"") )"),"2-Rhi-L-1612-R1")</f>
        <v>2-Rhi-L-1612-R1</v>
      </c>
      <c r="L10" s="8" t="s">
        <v>24</v>
      </c>
      <c r="M10" s="13">
        <v>3.0</v>
      </c>
      <c r="N10" s="14">
        <v>1.14</v>
      </c>
      <c r="O10" s="15">
        <f>SUM(N8:N13)</f>
        <v>6.79</v>
      </c>
      <c r="P10" s="16">
        <f t="shared" si="2"/>
        <v>4.327597196</v>
      </c>
    </row>
    <row r="11">
      <c r="A11" s="17"/>
      <c r="B11" s="18"/>
      <c r="C11" s="8" t="s">
        <v>16</v>
      </c>
      <c r="D11" s="8" t="s">
        <v>17</v>
      </c>
      <c r="E11" s="8" t="s">
        <v>18</v>
      </c>
      <c r="F11" s="8" t="s">
        <v>28</v>
      </c>
      <c r="G11" s="9" t="str">
        <f t="shared" si="1"/>
        <v>16O_12C</v>
      </c>
      <c r="H11" s="8" t="s">
        <v>20</v>
      </c>
      <c r="I11" s="10">
        <v>2.0</v>
      </c>
      <c r="J11" s="11" t="s">
        <v>29</v>
      </c>
      <c r="K11" s="12" t="str">
        <f>IFERROR(__xludf.DUMMYFUNCTION("TEXTJOIN("""",TRUE, REGEXEXTRACT(J11, ""\d+""),""-"",LEFT(C11,3),""-"",LEFT(D11),""-"",LEFT(E11,2),LEFT(F11,2), ""-R"",REGEXEXTRACT(H11, ""\d+"") )"),"2-Rhi-L-1612-R1")</f>
        <v>2-Rhi-L-1612-R1</v>
      </c>
      <c r="L11" s="8" t="s">
        <v>25</v>
      </c>
      <c r="M11" s="13">
        <v>4.0</v>
      </c>
      <c r="N11" s="14">
        <v>1.16</v>
      </c>
      <c r="O11" s="19">
        <f>SUM(N8:N13)</f>
        <v>6.79</v>
      </c>
      <c r="P11" s="20">
        <f t="shared" si="2"/>
        <v>4.327597196</v>
      </c>
    </row>
    <row r="12">
      <c r="A12" s="6"/>
      <c r="B12" s="21"/>
      <c r="C12" s="8" t="s">
        <v>16</v>
      </c>
      <c r="D12" s="8" t="s">
        <v>17</v>
      </c>
      <c r="E12" s="8" t="s">
        <v>18</v>
      </c>
      <c r="F12" s="8" t="s">
        <v>28</v>
      </c>
      <c r="G12" s="9" t="str">
        <f t="shared" si="1"/>
        <v>16O_12C</v>
      </c>
      <c r="H12" s="8" t="s">
        <v>20</v>
      </c>
      <c r="I12" s="10">
        <v>2.0</v>
      </c>
      <c r="J12" s="11" t="s">
        <v>29</v>
      </c>
      <c r="K12" s="12" t="str">
        <f>IFERROR(__xludf.DUMMYFUNCTION("TEXTJOIN("""",TRUE, REGEXEXTRACT(J12, ""\d+""),""-"",LEFT(C12,3),""-"",LEFT(D12),""-"",LEFT(E12,2),LEFT(F12,2), ""-R"",REGEXEXTRACT(H12, ""\d+"") )"),"2-Rhi-L-1612-R1")</f>
        <v>2-Rhi-L-1612-R1</v>
      </c>
      <c r="L12" s="8" t="s">
        <v>26</v>
      </c>
      <c r="M12" s="13">
        <v>5.0</v>
      </c>
      <c r="N12" s="14">
        <v>1.1</v>
      </c>
      <c r="O12" s="15">
        <f>SUM(N8:N13)</f>
        <v>6.79</v>
      </c>
      <c r="P12" s="16">
        <f t="shared" si="2"/>
        <v>4.327597196</v>
      </c>
    </row>
    <row r="13">
      <c r="A13" s="17"/>
      <c r="B13" s="18"/>
      <c r="C13" s="8" t="s">
        <v>16</v>
      </c>
      <c r="D13" s="8" t="s">
        <v>17</v>
      </c>
      <c r="E13" s="8" t="s">
        <v>18</v>
      </c>
      <c r="F13" s="8" t="s">
        <v>28</v>
      </c>
      <c r="G13" s="9" t="str">
        <f t="shared" si="1"/>
        <v>16O_12C</v>
      </c>
      <c r="H13" s="8" t="s">
        <v>20</v>
      </c>
      <c r="I13" s="10">
        <v>2.0</v>
      </c>
      <c r="J13" s="11" t="s">
        <v>29</v>
      </c>
      <c r="K13" s="12" t="str">
        <f>IFERROR(__xludf.DUMMYFUNCTION("TEXTJOIN("""",TRUE, REGEXEXTRACT(J13, ""\d+""),""-"",LEFT(C13,3),""-"",LEFT(D13),""-"",LEFT(E13,2),LEFT(F13,2), ""-R"",REGEXEXTRACT(H13, ""\d+"") )"),"2-Rhi-L-1612-R1")</f>
        <v>2-Rhi-L-1612-R1</v>
      </c>
      <c r="L13" s="8" t="s">
        <v>27</v>
      </c>
      <c r="M13" s="13">
        <v>6.0</v>
      </c>
      <c r="N13" s="14">
        <v>1.1</v>
      </c>
      <c r="O13" s="19">
        <f>SUM(N8:N13)</f>
        <v>6.79</v>
      </c>
      <c r="P13" s="20">
        <f t="shared" si="2"/>
        <v>4.327597196</v>
      </c>
    </row>
    <row r="14">
      <c r="A14" s="6"/>
      <c r="B14" s="21"/>
      <c r="C14" s="8" t="s">
        <v>16</v>
      </c>
      <c r="D14" s="8" t="s">
        <v>17</v>
      </c>
      <c r="E14" s="8" t="s">
        <v>30</v>
      </c>
      <c r="F14" s="8" t="s">
        <v>28</v>
      </c>
      <c r="G14" s="9" t="str">
        <f t="shared" si="1"/>
        <v>18O_12C</v>
      </c>
      <c r="H14" s="8" t="s">
        <v>20</v>
      </c>
      <c r="I14" s="10">
        <v>3.0</v>
      </c>
      <c r="J14" s="11" t="s">
        <v>31</v>
      </c>
      <c r="K14" s="12" t="str">
        <f>IFERROR(__xludf.DUMMYFUNCTION("TEXTJOIN("""",TRUE, REGEXEXTRACT(J14, ""\d+""),""-"",LEFT(C14,3),""-"",LEFT(D14),""-"",LEFT(E14,2),LEFT(F14,2), ""-R"",REGEXEXTRACT(H14, ""\d+"") )"),"3-Rhi-L-1812-R1")</f>
        <v>3-Rhi-L-1812-R1</v>
      </c>
      <c r="L14" s="8" t="s">
        <v>22</v>
      </c>
      <c r="M14" s="13">
        <v>1.0</v>
      </c>
      <c r="N14" s="14">
        <v>1.14</v>
      </c>
      <c r="O14" s="15">
        <f>SUM(N14:N19)</f>
        <v>6.9</v>
      </c>
      <c r="P14" s="16">
        <f t="shared" si="2"/>
        <v>4.397705545</v>
      </c>
    </row>
    <row r="15">
      <c r="A15" s="17"/>
      <c r="B15" s="18"/>
      <c r="C15" s="8" t="s">
        <v>16</v>
      </c>
      <c r="D15" s="8" t="s">
        <v>17</v>
      </c>
      <c r="E15" s="8" t="s">
        <v>30</v>
      </c>
      <c r="F15" s="8" t="s">
        <v>28</v>
      </c>
      <c r="G15" s="9" t="str">
        <f t="shared" si="1"/>
        <v>18O_12C</v>
      </c>
      <c r="H15" s="8" t="s">
        <v>20</v>
      </c>
      <c r="I15" s="10">
        <v>3.0</v>
      </c>
      <c r="J15" s="11" t="s">
        <v>31</v>
      </c>
      <c r="K15" s="12" t="str">
        <f>IFERROR(__xludf.DUMMYFUNCTION("TEXTJOIN("""",TRUE, REGEXEXTRACT(J15, ""\d+""),""-"",LEFT(C15,3),""-"",LEFT(D15),""-"",LEFT(E15,2),LEFT(F15,2), ""-R"",REGEXEXTRACT(H15, ""\d+"") )"),"3-Rhi-L-1812-R1")</f>
        <v>3-Rhi-L-1812-R1</v>
      </c>
      <c r="L15" s="8" t="s">
        <v>23</v>
      </c>
      <c r="M15" s="13">
        <v>2.0</v>
      </c>
      <c r="N15" s="14">
        <v>1.14</v>
      </c>
      <c r="O15" s="19">
        <f>SUM(N14:N19)</f>
        <v>6.9</v>
      </c>
      <c r="P15" s="20">
        <f t="shared" si="2"/>
        <v>4.397705545</v>
      </c>
    </row>
    <row r="16">
      <c r="A16" s="6"/>
      <c r="B16" s="21"/>
      <c r="C16" s="8" t="s">
        <v>16</v>
      </c>
      <c r="D16" s="8" t="s">
        <v>17</v>
      </c>
      <c r="E16" s="8" t="s">
        <v>30</v>
      </c>
      <c r="F16" s="8" t="s">
        <v>28</v>
      </c>
      <c r="G16" s="9" t="str">
        <f t="shared" si="1"/>
        <v>18O_12C</v>
      </c>
      <c r="H16" s="8" t="s">
        <v>20</v>
      </c>
      <c r="I16" s="10">
        <v>3.0</v>
      </c>
      <c r="J16" s="11" t="s">
        <v>31</v>
      </c>
      <c r="K16" s="12" t="str">
        <f>IFERROR(__xludf.DUMMYFUNCTION("TEXTJOIN("""",TRUE, REGEXEXTRACT(J16, ""\d+""),""-"",LEFT(C16,3),""-"",LEFT(D16),""-"",LEFT(E16,2),LEFT(F16,2), ""-R"",REGEXEXTRACT(H16, ""\d+"") )"),"3-Rhi-L-1812-R1")</f>
        <v>3-Rhi-L-1812-R1</v>
      </c>
      <c r="L16" s="8" t="s">
        <v>24</v>
      </c>
      <c r="M16" s="13">
        <v>3.0</v>
      </c>
      <c r="N16" s="14">
        <v>1.14</v>
      </c>
      <c r="O16" s="15">
        <f>SUM(N14:N19)</f>
        <v>6.9</v>
      </c>
      <c r="P16" s="16">
        <f t="shared" si="2"/>
        <v>4.397705545</v>
      </c>
    </row>
    <row r="17">
      <c r="A17" s="17"/>
      <c r="B17" s="18"/>
      <c r="C17" s="8" t="s">
        <v>16</v>
      </c>
      <c r="D17" s="8" t="s">
        <v>17</v>
      </c>
      <c r="E17" s="8" t="s">
        <v>30</v>
      </c>
      <c r="F17" s="8" t="s">
        <v>28</v>
      </c>
      <c r="G17" s="9" t="str">
        <f t="shared" si="1"/>
        <v>18O_12C</v>
      </c>
      <c r="H17" s="8" t="s">
        <v>20</v>
      </c>
      <c r="I17" s="10">
        <v>3.0</v>
      </c>
      <c r="J17" s="11" t="s">
        <v>31</v>
      </c>
      <c r="K17" s="12" t="str">
        <f>IFERROR(__xludf.DUMMYFUNCTION("TEXTJOIN("""",TRUE, REGEXEXTRACT(J17, ""\d+""),""-"",LEFT(C17,3),""-"",LEFT(D17),""-"",LEFT(E17,2),LEFT(F17,2), ""-R"",REGEXEXTRACT(H17, ""\d+"") )"),"3-Rhi-L-1812-R1")</f>
        <v>3-Rhi-L-1812-R1</v>
      </c>
      <c r="L17" s="8" t="s">
        <v>25</v>
      </c>
      <c r="M17" s="13">
        <v>4.0</v>
      </c>
      <c r="N17" s="14">
        <v>1.16</v>
      </c>
      <c r="O17" s="19">
        <f>SUM(N14:N19)</f>
        <v>6.9</v>
      </c>
      <c r="P17" s="20">
        <f t="shared" si="2"/>
        <v>4.397705545</v>
      </c>
    </row>
    <row r="18">
      <c r="A18" s="6"/>
      <c r="B18" s="21"/>
      <c r="C18" s="8" t="s">
        <v>16</v>
      </c>
      <c r="D18" s="8" t="s">
        <v>17</v>
      </c>
      <c r="E18" s="8" t="s">
        <v>30</v>
      </c>
      <c r="F18" s="8" t="s">
        <v>28</v>
      </c>
      <c r="G18" s="9" t="str">
        <f t="shared" si="1"/>
        <v>18O_12C</v>
      </c>
      <c r="H18" s="8" t="s">
        <v>20</v>
      </c>
      <c r="I18" s="10">
        <v>3.0</v>
      </c>
      <c r="J18" s="11" t="s">
        <v>31</v>
      </c>
      <c r="K18" s="12" t="str">
        <f>IFERROR(__xludf.DUMMYFUNCTION("TEXTJOIN("""",TRUE, REGEXEXTRACT(J18, ""\d+""),""-"",LEFT(C18,3),""-"",LEFT(D18),""-"",LEFT(E18,2),LEFT(F18,2), ""-R"",REGEXEXTRACT(H18, ""\d+"") )"),"3-Rhi-L-1812-R1")</f>
        <v>3-Rhi-L-1812-R1</v>
      </c>
      <c r="L18" s="8" t="s">
        <v>26</v>
      </c>
      <c r="M18" s="13">
        <v>5.0</v>
      </c>
      <c r="N18" s="14">
        <v>1.16</v>
      </c>
      <c r="O18" s="15">
        <f>SUM(N14:N19)</f>
        <v>6.9</v>
      </c>
      <c r="P18" s="16">
        <f t="shared" si="2"/>
        <v>4.397705545</v>
      </c>
    </row>
    <row r="19">
      <c r="A19" s="17"/>
      <c r="B19" s="18"/>
      <c r="C19" s="8" t="s">
        <v>16</v>
      </c>
      <c r="D19" s="8" t="s">
        <v>17</v>
      </c>
      <c r="E19" s="8" t="s">
        <v>30</v>
      </c>
      <c r="F19" s="8" t="s">
        <v>28</v>
      </c>
      <c r="G19" s="9" t="str">
        <f t="shared" si="1"/>
        <v>18O_12C</v>
      </c>
      <c r="H19" s="8" t="s">
        <v>20</v>
      </c>
      <c r="I19" s="10">
        <v>3.0</v>
      </c>
      <c r="J19" s="11" t="s">
        <v>31</v>
      </c>
      <c r="K19" s="12" t="str">
        <f>IFERROR(__xludf.DUMMYFUNCTION("TEXTJOIN("""",TRUE, REGEXEXTRACT(J19, ""\d+""),""-"",LEFT(C19,3),""-"",LEFT(D19),""-"",LEFT(E19,2),LEFT(F19,2), ""-R"",REGEXEXTRACT(H19, ""\d+"") )"),"3-Rhi-L-1812-R1")</f>
        <v>3-Rhi-L-1812-R1</v>
      </c>
      <c r="L19" s="8" t="s">
        <v>27</v>
      </c>
      <c r="M19" s="13">
        <v>6.0</v>
      </c>
      <c r="N19" s="14">
        <v>1.16</v>
      </c>
      <c r="O19" s="19">
        <f>SUM(N14:N19)</f>
        <v>6.9</v>
      </c>
      <c r="P19" s="20">
        <f t="shared" si="2"/>
        <v>4.397705545</v>
      </c>
    </row>
    <row r="20">
      <c r="A20" s="6"/>
      <c r="B20" s="21"/>
      <c r="C20" s="8" t="s">
        <v>16</v>
      </c>
      <c r="D20" s="8" t="s">
        <v>32</v>
      </c>
      <c r="E20" s="8" t="s">
        <v>18</v>
      </c>
      <c r="F20" s="8" t="s">
        <v>19</v>
      </c>
      <c r="G20" s="9" t="str">
        <f t="shared" si="1"/>
        <v>16O_13C</v>
      </c>
      <c r="H20" s="8" t="s">
        <v>20</v>
      </c>
      <c r="I20" s="10">
        <v>4.0</v>
      </c>
      <c r="J20" s="11" t="s">
        <v>33</v>
      </c>
      <c r="K20" s="12" t="str">
        <f>IFERROR(__xludf.DUMMYFUNCTION("TEXTJOIN("""",TRUE, REGEXEXTRACT(J20, ""\d+""),""-"",LEFT(C20,3),""-"",LEFT(D20),""-"",LEFT(E20,2),LEFT(F20,2), ""-R"",REGEXEXTRACT(H20, ""\d+"") )"),"4-Rhi-E-1613-R1")</f>
        <v>4-Rhi-E-1613-R1</v>
      </c>
      <c r="L20" s="8" t="s">
        <v>22</v>
      </c>
      <c r="M20" s="13">
        <v>1.0</v>
      </c>
      <c r="N20" s="14">
        <v>1.14</v>
      </c>
      <c r="O20" s="15">
        <f>SUM(N20:N25)</f>
        <v>6.96</v>
      </c>
      <c r="P20" s="16">
        <f t="shared" si="2"/>
        <v>4.435946463</v>
      </c>
    </row>
    <row r="21">
      <c r="A21" s="17"/>
      <c r="B21" s="18"/>
      <c r="C21" s="8" t="s">
        <v>16</v>
      </c>
      <c r="D21" s="8" t="s">
        <v>32</v>
      </c>
      <c r="E21" s="8" t="s">
        <v>18</v>
      </c>
      <c r="F21" s="8" t="s">
        <v>19</v>
      </c>
      <c r="G21" s="9" t="str">
        <f t="shared" si="1"/>
        <v>16O_13C</v>
      </c>
      <c r="H21" s="8" t="s">
        <v>20</v>
      </c>
      <c r="I21" s="10">
        <v>4.0</v>
      </c>
      <c r="J21" s="11" t="s">
        <v>33</v>
      </c>
      <c r="K21" s="12" t="str">
        <f>IFERROR(__xludf.DUMMYFUNCTION("TEXTJOIN("""",TRUE, REGEXEXTRACT(J21, ""\d+""),""-"",LEFT(C21,3),""-"",LEFT(D21),""-"",LEFT(E21,2),LEFT(F21,2), ""-R"",REGEXEXTRACT(H21, ""\d+"") )"),"4-Rhi-E-1613-R1")</f>
        <v>4-Rhi-E-1613-R1</v>
      </c>
      <c r="L21" s="8" t="s">
        <v>23</v>
      </c>
      <c r="M21" s="13">
        <v>2.0</v>
      </c>
      <c r="N21" s="14">
        <v>1.2</v>
      </c>
      <c r="O21" s="19">
        <f>SUM(N20:N25)</f>
        <v>6.96</v>
      </c>
      <c r="P21" s="20">
        <f t="shared" si="2"/>
        <v>4.435946463</v>
      </c>
    </row>
    <row r="22">
      <c r="A22" s="6"/>
      <c r="B22" s="21"/>
      <c r="C22" s="8" t="s">
        <v>16</v>
      </c>
      <c r="D22" s="8" t="s">
        <v>32</v>
      </c>
      <c r="E22" s="8" t="s">
        <v>18</v>
      </c>
      <c r="F22" s="8" t="s">
        <v>19</v>
      </c>
      <c r="G22" s="9" t="str">
        <f t="shared" si="1"/>
        <v>16O_13C</v>
      </c>
      <c r="H22" s="8" t="s">
        <v>20</v>
      </c>
      <c r="I22" s="10">
        <v>4.0</v>
      </c>
      <c r="J22" s="11" t="s">
        <v>33</v>
      </c>
      <c r="K22" s="12" t="str">
        <f>IFERROR(__xludf.DUMMYFUNCTION("TEXTJOIN("""",TRUE, REGEXEXTRACT(J22, ""\d+""),""-"",LEFT(C22,3),""-"",LEFT(D22),""-"",LEFT(E22,2),LEFT(F22,2), ""-R"",REGEXEXTRACT(H22, ""\d+"") )"),"4-Rhi-E-1613-R1")</f>
        <v>4-Rhi-E-1613-R1</v>
      </c>
      <c r="L22" s="8" t="s">
        <v>24</v>
      </c>
      <c r="M22" s="13">
        <v>3.0</v>
      </c>
      <c r="N22" s="14">
        <v>1.16</v>
      </c>
      <c r="O22" s="15">
        <f>SUM(N20:N25)</f>
        <v>6.96</v>
      </c>
      <c r="P22" s="16">
        <f t="shared" si="2"/>
        <v>4.435946463</v>
      </c>
    </row>
    <row r="23">
      <c r="A23" s="17"/>
      <c r="B23" s="18"/>
      <c r="C23" s="8" t="s">
        <v>16</v>
      </c>
      <c r="D23" s="8" t="s">
        <v>32</v>
      </c>
      <c r="E23" s="8" t="s">
        <v>18</v>
      </c>
      <c r="F23" s="8" t="s">
        <v>19</v>
      </c>
      <c r="G23" s="9" t="str">
        <f t="shared" si="1"/>
        <v>16O_13C</v>
      </c>
      <c r="H23" s="8" t="s">
        <v>20</v>
      </c>
      <c r="I23" s="10">
        <v>4.0</v>
      </c>
      <c r="J23" s="11" t="s">
        <v>33</v>
      </c>
      <c r="K23" s="12" t="str">
        <f>IFERROR(__xludf.DUMMYFUNCTION("TEXTJOIN("""",TRUE, REGEXEXTRACT(J23, ""\d+""),""-"",LEFT(C23,3),""-"",LEFT(D23),""-"",LEFT(E23,2),LEFT(F23,2), ""-R"",REGEXEXTRACT(H23, ""\d+"") )"),"4-Rhi-E-1613-R1")</f>
        <v>4-Rhi-E-1613-R1</v>
      </c>
      <c r="L23" s="8" t="s">
        <v>25</v>
      </c>
      <c r="M23" s="13">
        <v>4.0</v>
      </c>
      <c r="N23" s="14">
        <v>1.18</v>
      </c>
      <c r="O23" s="19">
        <f>SUM(N20:N25)</f>
        <v>6.96</v>
      </c>
      <c r="P23" s="20">
        <f t="shared" si="2"/>
        <v>4.435946463</v>
      </c>
    </row>
    <row r="24">
      <c r="A24" s="6"/>
      <c r="B24" s="21"/>
      <c r="C24" s="8" t="s">
        <v>16</v>
      </c>
      <c r="D24" s="8" t="s">
        <v>32</v>
      </c>
      <c r="E24" s="8" t="s">
        <v>18</v>
      </c>
      <c r="F24" s="8" t="s">
        <v>19</v>
      </c>
      <c r="G24" s="9" t="str">
        <f t="shared" si="1"/>
        <v>16O_13C</v>
      </c>
      <c r="H24" s="8" t="s">
        <v>20</v>
      </c>
      <c r="I24" s="10">
        <v>4.0</v>
      </c>
      <c r="J24" s="11" t="s">
        <v>33</v>
      </c>
      <c r="K24" s="12" t="str">
        <f>IFERROR(__xludf.DUMMYFUNCTION("TEXTJOIN("""",TRUE, REGEXEXTRACT(J24, ""\d+""),""-"",LEFT(C24,3),""-"",LEFT(D24),""-"",LEFT(E24,2),LEFT(F24,2), ""-R"",REGEXEXTRACT(H24, ""\d+"") )"),"4-Rhi-E-1613-R1")</f>
        <v>4-Rhi-E-1613-R1</v>
      </c>
      <c r="L24" s="8" t="s">
        <v>26</v>
      </c>
      <c r="M24" s="13">
        <v>5.0</v>
      </c>
      <c r="N24" s="14">
        <v>1.17</v>
      </c>
      <c r="O24" s="15">
        <f>SUM(N20:N25)</f>
        <v>6.96</v>
      </c>
      <c r="P24" s="16">
        <f t="shared" si="2"/>
        <v>4.435946463</v>
      </c>
    </row>
    <row r="25">
      <c r="A25" s="17"/>
      <c r="B25" s="18"/>
      <c r="C25" s="8" t="s">
        <v>16</v>
      </c>
      <c r="D25" s="8" t="s">
        <v>32</v>
      </c>
      <c r="E25" s="8" t="s">
        <v>18</v>
      </c>
      <c r="F25" s="8" t="s">
        <v>19</v>
      </c>
      <c r="G25" s="9" t="str">
        <f t="shared" si="1"/>
        <v>16O_13C</v>
      </c>
      <c r="H25" s="8" t="s">
        <v>20</v>
      </c>
      <c r="I25" s="10">
        <v>4.0</v>
      </c>
      <c r="J25" s="11" t="s">
        <v>33</v>
      </c>
      <c r="K25" s="12" t="str">
        <f>IFERROR(__xludf.DUMMYFUNCTION("TEXTJOIN("""",TRUE, REGEXEXTRACT(J25, ""\d+""),""-"",LEFT(C25,3),""-"",LEFT(D25),""-"",LEFT(E25,2),LEFT(F25,2), ""-R"",REGEXEXTRACT(H25, ""\d+"") )"),"4-Rhi-E-1613-R1")</f>
        <v>4-Rhi-E-1613-R1</v>
      </c>
      <c r="L25" s="8" t="s">
        <v>27</v>
      </c>
      <c r="M25" s="13">
        <v>6.0</v>
      </c>
      <c r="N25" s="14">
        <f>(2.28-1.17)</f>
        <v>1.11</v>
      </c>
      <c r="O25" s="19">
        <f>SUM(N20:N25)</f>
        <v>6.96</v>
      </c>
      <c r="P25" s="20">
        <f t="shared" si="2"/>
        <v>4.435946463</v>
      </c>
    </row>
    <row r="26">
      <c r="A26" s="6"/>
      <c r="B26" s="21"/>
      <c r="C26" s="8" t="s">
        <v>16</v>
      </c>
      <c r="D26" s="8" t="s">
        <v>32</v>
      </c>
      <c r="E26" s="8" t="s">
        <v>18</v>
      </c>
      <c r="F26" s="8" t="s">
        <v>28</v>
      </c>
      <c r="G26" s="9" t="str">
        <f t="shared" si="1"/>
        <v>16O_12C</v>
      </c>
      <c r="H26" s="8" t="s">
        <v>20</v>
      </c>
      <c r="I26" s="10">
        <v>5.0</v>
      </c>
      <c r="J26" s="11" t="s">
        <v>34</v>
      </c>
      <c r="K26" s="12" t="str">
        <f>IFERROR(__xludf.DUMMYFUNCTION("TEXTJOIN("""",TRUE, REGEXEXTRACT(J26, ""\d+""),""-"",LEFT(C26,3),""-"",LEFT(D26),""-"",LEFT(E26,2),LEFT(F26,2), ""-R"",REGEXEXTRACT(H26, ""\d+"") )"),"5-Rhi-E-1612-R1")</f>
        <v>5-Rhi-E-1612-R1</v>
      </c>
      <c r="L26" s="8" t="s">
        <v>22</v>
      </c>
      <c r="M26" s="13">
        <v>1.0</v>
      </c>
      <c r="N26" s="14">
        <v>1.19</v>
      </c>
      <c r="O26" s="15">
        <f>SUM(N26:N31)</f>
        <v>6.94</v>
      </c>
      <c r="P26" s="16">
        <f t="shared" si="2"/>
        <v>4.42319949</v>
      </c>
    </row>
    <row r="27">
      <c r="A27" s="17"/>
      <c r="B27" s="18"/>
      <c r="C27" s="8" t="s">
        <v>16</v>
      </c>
      <c r="D27" s="8" t="s">
        <v>32</v>
      </c>
      <c r="E27" s="8" t="s">
        <v>18</v>
      </c>
      <c r="F27" s="8" t="s">
        <v>28</v>
      </c>
      <c r="G27" s="9" t="str">
        <f t="shared" si="1"/>
        <v>16O_12C</v>
      </c>
      <c r="H27" s="8" t="s">
        <v>20</v>
      </c>
      <c r="I27" s="10">
        <v>5.0</v>
      </c>
      <c r="J27" s="11" t="s">
        <v>34</v>
      </c>
      <c r="K27" s="12" t="str">
        <f>IFERROR(__xludf.DUMMYFUNCTION("TEXTJOIN("""",TRUE, REGEXEXTRACT(J27, ""\d+""),""-"",LEFT(C27,3),""-"",LEFT(D27),""-"",LEFT(E27,2),LEFT(F27,2), ""-R"",REGEXEXTRACT(H27, ""\d+"") )"),"5-Rhi-E-1612-R1")</f>
        <v>5-Rhi-E-1612-R1</v>
      </c>
      <c r="L27" s="8" t="s">
        <v>23</v>
      </c>
      <c r="M27" s="13">
        <v>2.0</v>
      </c>
      <c r="N27" s="14">
        <v>1.08</v>
      </c>
      <c r="O27" s="19">
        <f>SUM(N26:N31)</f>
        <v>6.94</v>
      </c>
      <c r="P27" s="20">
        <f t="shared" si="2"/>
        <v>4.42319949</v>
      </c>
    </row>
    <row r="28">
      <c r="A28" s="6"/>
      <c r="B28" s="21"/>
      <c r="C28" s="8" t="s">
        <v>16</v>
      </c>
      <c r="D28" s="8" t="s">
        <v>32</v>
      </c>
      <c r="E28" s="8" t="s">
        <v>18</v>
      </c>
      <c r="F28" s="8" t="s">
        <v>28</v>
      </c>
      <c r="G28" s="9" t="str">
        <f t="shared" si="1"/>
        <v>16O_12C</v>
      </c>
      <c r="H28" s="8" t="s">
        <v>20</v>
      </c>
      <c r="I28" s="10">
        <v>5.0</v>
      </c>
      <c r="J28" s="11" t="s">
        <v>34</v>
      </c>
      <c r="K28" s="12" t="str">
        <f>IFERROR(__xludf.DUMMYFUNCTION("TEXTJOIN("""",TRUE, REGEXEXTRACT(J28, ""\d+""),""-"",LEFT(C28,3),""-"",LEFT(D28),""-"",LEFT(E28,2),LEFT(F28,2), ""-R"",REGEXEXTRACT(H28, ""\d+"") )"),"5-Rhi-E-1612-R1")</f>
        <v>5-Rhi-E-1612-R1</v>
      </c>
      <c r="L28" s="8" t="s">
        <v>24</v>
      </c>
      <c r="M28" s="13">
        <v>3.0</v>
      </c>
      <c r="N28" s="14">
        <v>1.1</v>
      </c>
      <c r="O28" s="15">
        <f>SUM(N26:N31)</f>
        <v>6.94</v>
      </c>
      <c r="P28" s="16">
        <f t="shared" si="2"/>
        <v>4.42319949</v>
      </c>
    </row>
    <row r="29">
      <c r="A29" s="17"/>
      <c r="B29" s="18"/>
      <c r="C29" s="8" t="s">
        <v>16</v>
      </c>
      <c r="D29" s="8" t="s">
        <v>32</v>
      </c>
      <c r="E29" s="8" t="s">
        <v>18</v>
      </c>
      <c r="F29" s="8" t="s">
        <v>28</v>
      </c>
      <c r="G29" s="9" t="str">
        <f t="shared" si="1"/>
        <v>16O_12C</v>
      </c>
      <c r="H29" s="8" t="s">
        <v>20</v>
      </c>
      <c r="I29" s="10">
        <v>5.0</v>
      </c>
      <c r="J29" s="11" t="s">
        <v>34</v>
      </c>
      <c r="K29" s="12" t="str">
        <f>IFERROR(__xludf.DUMMYFUNCTION("TEXTJOIN("""",TRUE, REGEXEXTRACT(J29, ""\d+""),""-"",LEFT(C29,3),""-"",LEFT(D29),""-"",LEFT(E29,2),LEFT(F29,2), ""-R"",REGEXEXTRACT(H29, ""\d+"") )"),"5-Rhi-E-1612-R1")</f>
        <v>5-Rhi-E-1612-R1</v>
      </c>
      <c r="L29" s="8" t="s">
        <v>25</v>
      </c>
      <c r="M29" s="13">
        <v>4.0</v>
      </c>
      <c r="N29" s="14">
        <v>1.19</v>
      </c>
      <c r="O29" s="19">
        <f>SUM(N26:N31)</f>
        <v>6.94</v>
      </c>
      <c r="P29" s="20">
        <f t="shared" si="2"/>
        <v>4.42319949</v>
      </c>
    </row>
    <row r="30">
      <c r="A30" s="6"/>
      <c r="B30" s="21"/>
      <c r="C30" s="8" t="s">
        <v>16</v>
      </c>
      <c r="D30" s="8" t="s">
        <v>32</v>
      </c>
      <c r="E30" s="8" t="s">
        <v>18</v>
      </c>
      <c r="F30" s="8" t="s">
        <v>28</v>
      </c>
      <c r="G30" s="9" t="str">
        <f t="shared" si="1"/>
        <v>16O_12C</v>
      </c>
      <c r="H30" s="8" t="s">
        <v>20</v>
      </c>
      <c r="I30" s="10">
        <v>5.0</v>
      </c>
      <c r="J30" s="11" t="s">
        <v>34</v>
      </c>
      <c r="K30" s="12" t="str">
        <f>IFERROR(__xludf.DUMMYFUNCTION("TEXTJOIN("""",TRUE, REGEXEXTRACT(J30, ""\d+""),""-"",LEFT(C30,3),""-"",LEFT(D30),""-"",LEFT(E30,2),LEFT(F30,2), ""-R"",REGEXEXTRACT(H30, ""\d+"") )"),"5-Rhi-E-1612-R1")</f>
        <v>5-Rhi-E-1612-R1</v>
      </c>
      <c r="L30" s="8" t="s">
        <v>26</v>
      </c>
      <c r="M30" s="13">
        <v>5.0</v>
      </c>
      <c r="N30" s="14">
        <v>1.21</v>
      </c>
      <c r="O30" s="15">
        <f>SUM(N26:N31)</f>
        <v>6.94</v>
      </c>
      <c r="P30" s="16">
        <f t="shared" si="2"/>
        <v>4.42319949</v>
      </c>
    </row>
    <row r="31">
      <c r="A31" s="17"/>
      <c r="B31" s="18"/>
      <c r="C31" s="8" t="s">
        <v>16</v>
      </c>
      <c r="D31" s="8" t="s">
        <v>32</v>
      </c>
      <c r="E31" s="8" t="s">
        <v>18</v>
      </c>
      <c r="F31" s="8" t="s">
        <v>28</v>
      </c>
      <c r="G31" s="9" t="str">
        <f t="shared" si="1"/>
        <v>16O_12C</v>
      </c>
      <c r="H31" s="8" t="s">
        <v>20</v>
      </c>
      <c r="I31" s="10">
        <v>5.0</v>
      </c>
      <c r="J31" s="11" t="s">
        <v>34</v>
      </c>
      <c r="K31" s="12" t="str">
        <f>IFERROR(__xludf.DUMMYFUNCTION("TEXTJOIN("""",TRUE, REGEXEXTRACT(J31, ""\d+""),""-"",LEFT(C31,3),""-"",LEFT(D31),""-"",LEFT(E31,2),LEFT(F31,2), ""-R"",REGEXEXTRACT(H31, ""\d+"") )"),"5-Rhi-E-1612-R1")</f>
        <v>5-Rhi-E-1612-R1</v>
      </c>
      <c r="L31" s="8" t="s">
        <v>27</v>
      </c>
      <c r="M31" s="13">
        <v>6.0</v>
      </c>
      <c r="N31" s="14">
        <v>1.17</v>
      </c>
      <c r="O31" s="19">
        <f>SUM(N26:N31)</f>
        <v>6.94</v>
      </c>
      <c r="P31" s="20">
        <f t="shared" si="2"/>
        <v>4.42319949</v>
      </c>
    </row>
    <row r="32">
      <c r="A32" s="6"/>
      <c r="B32" s="21"/>
      <c r="C32" s="8" t="s">
        <v>16</v>
      </c>
      <c r="D32" s="8" t="s">
        <v>32</v>
      </c>
      <c r="E32" s="8" t="s">
        <v>30</v>
      </c>
      <c r="F32" s="8" t="s">
        <v>28</v>
      </c>
      <c r="G32" s="9" t="str">
        <f t="shared" si="1"/>
        <v>18O_12C</v>
      </c>
      <c r="H32" s="8" t="s">
        <v>20</v>
      </c>
      <c r="I32" s="10">
        <v>6.0</v>
      </c>
      <c r="J32" s="11" t="s">
        <v>35</v>
      </c>
      <c r="K32" s="12" t="str">
        <f>IFERROR(__xludf.DUMMYFUNCTION("TEXTJOIN("""",TRUE, REGEXEXTRACT(J32, ""\d+""),""-"",LEFT(C32,3),""-"",LEFT(D32),""-"",LEFT(E32,2),LEFT(F32,2), ""-R"",REGEXEXTRACT(H32, ""\d+"") )"),"6-Rhi-E-1812-R1")</f>
        <v>6-Rhi-E-1812-R1</v>
      </c>
      <c r="L32" s="8" t="s">
        <v>22</v>
      </c>
      <c r="M32" s="13">
        <v>1.0</v>
      </c>
      <c r="N32" s="14">
        <v>1.15</v>
      </c>
      <c r="O32" s="15">
        <f>SUM(N32:N37)</f>
        <v>6.91</v>
      </c>
      <c r="P32" s="16">
        <f t="shared" si="2"/>
        <v>4.404079031</v>
      </c>
    </row>
    <row r="33">
      <c r="A33" s="17"/>
      <c r="B33" s="18"/>
      <c r="C33" s="8" t="s">
        <v>16</v>
      </c>
      <c r="D33" s="8" t="s">
        <v>32</v>
      </c>
      <c r="E33" s="8" t="s">
        <v>30</v>
      </c>
      <c r="F33" s="8" t="s">
        <v>28</v>
      </c>
      <c r="G33" s="9" t="str">
        <f t="shared" si="1"/>
        <v>18O_12C</v>
      </c>
      <c r="H33" s="8" t="s">
        <v>20</v>
      </c>
      <c r="I33" s="10">
        <v>6.0</v>
      </c>
      <c r="J33" s="11" t="s">
        <v>35</v>
      </c>
      <c r="K33" s="12" t="str">
        <f>IFERROR(__xludf.DUMMYFUNCTION("TEXTJOIN("""",TRUE, REGEXEXTRACT(J33, ""\d+""),""-"",LEFT(C33,3),""-"",LEFT(D33),""-"",LEFT(E33,2),LEFT(F33,2), ""-R"",REGEXEXTRACT(H33, ""\d+"") )"),"6-Rhi-E-1812-R1")</f>
        <v>6-Rhi-E-1812-R1</v>
      </c>
      <c r="L33" s="8" t="s">
        <v>23</v>
      </c>
      <c r="M33" s="13">
        <v>2.0</v>
      </c>
      <c r="N33" s="14">
        <v>1.18</v>
      </c>
      <c r="O33" s="19">
        <f>SUM(N32:N37)</f>
        <v>6.91</v>
      </c>
      <c r="P33" s="20">
        <f t="shared" si="2"/>
        <v>4.404079031</v>
      </c>
    </row>
    <row r="34">
      <c r="A34" s="6"/>
      <c r="B34" s="21"/>
      <c r="C34" s="8" t="s">
        <v>16</v>
      </c>
      <c r="D34" s="8" t="s">
        <v>32</v>
      </c>
      <c r="E34" s="8" t="s">
        <v>30</v>
      </c>
      <c r="F34" s="8" t="s">
        <v>28</v>
      </c>
      <c r="G34" s="9" t="str">
        <f t="shared" si="1"/>
        <v>18O_12C</v>
      </c>
      <c r="H34" s="8" t="s">
        <v>20</v>
      </c>
      <c r="I34" s="10">
        <v>6.0</v>
      </c>
      <c r="J34" s="11" t="s">
        <v>35</v>
      </c>
      <c r="K34" s="12" t="str">
        <f>IFERROR(__xludf.DUMMYFUNCTION("TEXTJOIN("""",TRUE, REGEXEXTRACT(J34, ""\d+""),""-"",LEFT(C34,3),""-"",LEFT(D34),""-"",LEFT(E34,2),LEFT(F34,2), ""-R"",REGEXEXTRACT(H34, ""\d+"") )"),"6-Rhi-E-1812-R1")</f>
        <v>6-Rhi-E-1812-R1</v>
      </c>
      <c r="L34" s="8" t="s">
        <v>24</v>
      </c>
      <c r="M34" s="13">
        <v>3.0</v>
      </c>
      <c r="N34" s="14">
        <v>1.17</v>
      </c>
      <c r="O34" s="15">
        <f>SUM(N32:N37)</f>
        <v>6.91</v>
      </c>
      <c r="P34" s="16">
        <f t="shared" si="2"/>
        <v>4.404079031</v>
      </c>
    </row>
    <row r="35">
      <c r="A35" s="17"/>
      <c r="B35" s="18"/>
      <c r="C35" s="8" t="s">
        <v>16</v>
      </c>
      <c r="D35" s="8" t="s">
        <v>32</v>
      </c>
      <c r="E35" s="8" t="s">
        <v>30</v>
      </c>
      <c r="F35" s="8" t="s">
        <v>28</v>
      </c>
      <c r="G35" s="9" t="str">
        <f t="shared" si="1"/>
        <v>18O_12C</v>
      </c>
      <c r="H35" s="8" t="s">
        <v>20</v>
      </c>
      <c r="I35" s="10">
        <v>6.0</v>
      </c>
      <c r="J35" s="11" t="s">
        <v>35</v>
      </c>
      <c r="K35" s="12" t="str">
        <f>IFERROR(__xludf.DUMMYFUNCTION("TEXTJOIN("""",TRUE, REGEXEXTRACT(J35, ""\d+""),""-"",LEFT(C35,3),""-"",LEFT(D35),""-"",LEFT(E35,2),LEFT(F35,2), ""-R"",REGEXEXTRACT(H35, ""\d+"") )"),"6-Rhi-E-1812-R1")</f>
        <v>6-Rhi-E-1812-R1</v>
      </c>
      <c r="L35" s="8" t="s">
        <v>25</v>
      </c>
      <c r="M35" s="13">
        <v>4.0</v>
      </c>
      <c r="N35" s="14">
        <v>1.12</v>
      </c>
      <c r="O35" s="19">
        <f>SUM(N32:N37)</f>
        <v>6.91</v>
      </c>
      <c r="P35" s="20">
        <f t="shared" si="2"/>
        <v>4.404079031</v>
      </c>
    </row>
    <row r="36">
      <c r="A36" s="6"/>
      <c r="B36" s="21"/>
      <c r="C36" s="8" t="s">
        <v>16</v>
      </c>
      <c r="D36" s="8" t="s">
        <v>32</v>
      </c>
      <c r="E36" s="8" t="s">
        <v>30</v>
      </c>
      <c r="F36" s="8" t="s">
        <v>28</v>
      </c>
      <c r="G36" s="9" t="str">
        <f t="shared" si="1"/>
        <v>18O_12C</v>
      </c>
      <c r="H36" s="8" t="s">
        <v>20</v>
      </c>
      <c r="I36" s="10">
        <v>6.0</v>
      </c>
      <c r="J36" s="11" t="s">
        <v>35</v>
      </c>
      <c r="K36" s="12" t="str">
        <f>IFERROR(__xludf.DUMMYFUNCTION("TEXTJOIN("""",TRUE, REGEXEXTRACT(J36, ""\d+""),""-"",LEFT(C36,3),""-"",LEFT(D36),""-"",LEFT(E36,2),LEFT(F36,2), ""-R"",REGEXEXTRACT(H36, ""\d+"") )"),"6-Rhi-E-1812-R1")</f>
        <v>6-Rhi-E-1812-R1</v>
      </c>
      <c r="L36" s="8" t="s">
        <v>26</v>
      </c>
      <c r="M36" s="13">
        <v>5.0</v>
      </c>
      <c r="N36" s="14">
        <v>1.17</v>
      </c>
      <c r="O36" s="15">
        <f>SUM(N32:N37)</f>
        <v>6.91</v>
      </c>
      <c r="P36" s="16">
        <f t="shared" si="2"/>
        <v>4.404079031</v>
      </c>
    </row>
    <row r="37">
      <c r="A37" s="17"/>
      <c r="B37" s="18"/>
      <c r="C37" s="8" t="s">
        <v>16</v>
      </c>
      <c r="D37" s="8" t="s">
        <v>32</v>
      </c>
      <c r="E37" s="8" t="s">
        <v>30</v>
      </c>
      <c r="F37" s="8" t="s">
        <v>28</v>
      </c>
      <c r="G37" s="9" t="str">
        <f t="shared" si="1"/>
        <v>18O_12C</v>
      </c>
      <c r="H37" s="8" t="s">
        <v>20</v>
      </c>
      <c r="I37" s="10">
        <v>6.0</v>
      </c>
      <c r="J37" s="11" t="s">
        <v>35</v>
      </c>
      <c r="K37" s="12" t="str">
        <f>IFERROR(__xludf.DUMMYFUNCTION("TEXTJOIN("""",TRUE, REGEXEXTRACT(J37, ""\d+""),""-"",LEFT(C37,3),""-"",LEFT(D37),""-"",LEFT(E37,2),LEFT(F37,2), ""-R"",REGEXEXTRACT(H37, ""\d+"") )"),"6-Rhi-E-1812-R1")</f>
        <v>6-Rhi-E-1812-R1</v>
      </c>
      <c r="L37" s="8" t="s">
        <v>27</v>
      </c>
      <c r="M37" s="13">
        <v>6.0</v>
      </c>
      <c r="N37" s="14">
        <v>1.12</v>
      </c>
      <c r="O37" s="19">
        <f>SUM(N32:N37)</f>
        <v>6.91</v>
      </c>
      <c r="P37" s="20">
        <f t="shared" si="2"/>
        <v>4.404079031</v>
      </c>
    </row>
    <row r="38">
      <c r="A38" s="6"/>
      <c r="B38" s="21"/>
      <c r="C38" s="8" t="s">
        <v>16</v>
      </c>
      <c r="D38" s="8" t="s">
        <v>36</v>
      </c>
      <c r="E38" s="8" t="s">
        <v>18</v>
      </c>
      <c r="F38" s="8" t="s">
        <v>37</v>
      </c>
      <c r="G38" s="9" t="str">
        <f t="shared" si="1"/>
        <v>16O_No C</v>
      </c>
      <c r="H38" s="8" t="s">
        <v>20</v>
      </c>
      <c r="I38" s="10">
        <v>7.0</v>
      </c>
      <c r="J38" s="11" t="s">
        <v>38</v>
      </c>
      <c r="K38" s="12" t="str">
        <f>IFERROR(__xludf.DUMMYFUNCTION("TEXTJOIN("""",TRUE, REGEXEXTRACT(J38, ""\d+""),""-"",LEFT(C38,3),""-"",LEFT(D38),""-"",LEFT(E38,2),LEFT(F38,2), ""-R"",REGEXEXTRACT(H38, ""\d+"") )"),"7-Rhi-N-16No-R1")</f>
        <v>7-Rhi-N-16No-R1</v>
      </c>
      <c r="L38" s="8" t="s">
        <v>22</v>
      </c>
      <c r="M38" s="13">
        <v>1.0</v>
      </c>
      <c r="N38" s="14">
        <v>1.17</v>
      </c>
      <c r="O38" s="15">
        <f>SUM(N38:N43)</f>
        <v>6.95</v>
      </c>
      <c r="P38" s="16">
        <f t="shared" si="2"/>
        <v>4.429572976</v>
      </c>
    </row>
    <row r="39">
      <c r="A39" s="17"/>
      <c r="B39" s="18"/>
      <c r="C39" s="8" t="s">
        <v>16</v>
      </c>
      <c r="D39" s="8" t="s">
        <v>36</v>
      </c>
      <c r="E39" s="8" t="s">
        <v>18</v>
      </c>
      <c r="F39" s="8" t="s">
        <v>37</v>
      </c>
      <c r="G39" s="9" t="str">
        <f t="shared" si="1"/>
        <v>16O_No C</v>
      </c>
      <c r="H39" s="8" t="s">
        <v>20</v>
      </c>
      <c r="I39" s="10">
        <v>7.0</v>
      </c>
      <c r="J39" s="11" t="s">
        <v>38</v>
      </c>
      <c r="K39" s="12" t="str">
        <f>IFERROR(__xludf.DUMMYFUNCTION("TEXTJOIN("""",TRUE, REGEXEXTRACT(J39, ""\d+""),""-"",LEFT(C39,3),""-"",LEFT(D39),""-"",LEFT(E39,2),LEFT(F39,2), ""-R"",REGEXEXTRACT(H39, ""\d+"") )"),"7-Rhi-N-16No-R1")</f>
        <v>7-Rhi-N-16No-R1</v>
      </c>
      <c r="L39" s="8" t="s">
        <v>23</v>
      </c>
      <c r="M39" s="13">
        <v>2.0</v>
      </c>
      <c r="N39" s="14">
        <v>1.16</v>
      </c>
      <c r="O39" s="19">
        <f>SUM(N38:N43)</f>
        <v>6.95</v>
      </c>
      <c r="P39" s="20">
        <f t="shared" si="2"/>
        <v>4.429572976</v>
      </c>
    </row>
    <row r="40">
      <c r="A40" s="6"/>
      <c r="B40" s="21"/>
      <c r="C40" s="8" t="s">
        <v>16</v>
      </c>
      <c r="D40" s="8" t="s">
        <v>36</v>
      </c>
      <c r="E40" s="8" t="s">
        <v>18</v>
      </c>
      <c r="F40" s="8" t="s">
        <v>37</v>
      </c>
      <c r="G40" s="9" t="str">
        <f t="shared" si="1"/>
        <v>16O_No C</v>
      </c>
      <c r="H40" s="8" t="s">
        <v>20</v>
      </c>
      <c r="I40" s="10">
        <v>7.0</v>
      </c>
      <c r="J40" s="11" t="s">
        <v>38</v>
      </c>
      <c r="K40" s="12" t="str">
        <f>IFERROR(__xludf.DUMMYFUNCTION("TEXTJOIN("""",TRUE, REGEXEXTRACT(J40, ""\d+""),""-"",LEFT(C40,3),""-"",LEFT(D40),""-"",LEFT(E40,2),LEFT(F40,2), ""-R"",REGEXEXTRACT(H40, ""\d+"") )"),"7-Rhi-N-16No-R1")</f>
        <v>7-Rhi-N-16No-R1</v>
      </c>
      <c r="L40" s="8" t="s">
        <v>24</v>
      </c>
      <c r="M40" s="13">
        <v>3.0</v>
      </c>
      <c r="N40" s="14">
        <v>1.19</v>
      </c>
      <c r="O40" s="15">
        <f>SUM(N38:N43)</f>
        <v>6.95</v>
      </c>
      <c r="P40" s="16">
        <f t="shared" si="2"/>
        <v>4.429572976</v>
      </c>
    </row>
    <row r="41">
      <c r="A41" s="17"/>
      <c r="B41" s="18"/>
      <c r="C41" s="8" t="s">
        <v>16</v>
      </c>
      <c r="D41" s="8" t="s">
        <v>36</v>
      </c>
      <c r="E41" s="8" t="s">
        <v>18</v>
      </c>
      <c r="F41" s="8" t="s">
        <v>37</v>
      </c>
      <c r="G41" s="9" t="str">
        <f t="shared" si="1"/>
        <v>16O_No C</v>
      </c>
      <c r="H41" s="8" t="s">
        <v>20</v>
      </c>
      <c r="I41" s="10">
        <v>7.0</v>
      </c>
      <c r="J41" s="11" t="s">
        <v>38</v>
      </c>
      <c r="K41" s="12" t="str">
        <f>IFERROR(__xludf.DUMMYFUNCTION("TEXTJOIN("""",TRUE, REGEXEXTRACT(J41, ""\d+""),""-"",LEFT(C41,3),""-"",LEFT(D41),""-"",LEFT(E41,2),LEFT(F41,2), ""-R"",REGEXEXTRACT(H41, ""\d+"") )"),"7-Rhi-N-16No-R1")</f>
        <v>7-Rhi-N-16No-R1</v>
      </c>
      <c r="L41" s="8" t="s">
        <v>25</v>
      </c>
      <c r="M41" s="13">
        <v>4.0</v>
      </c>
      <c r="N41" s="14">
        <f>(2.32-1.19)</f>
        <v>1.13</v>
      </c>
      <c r="O41" s="19">
        <f>SUM(N38:N43)</f>
        <v>6.95</v>
      </c>
      <c r="P41" s="20">
        <f t="shared" si="2"/>
        <v>4.429572976</v>
      </c>
    </row>
    <row r="42">
      <c r="A42" s="6"/>
      <c r="B42" s="21"/>
      <c r="C42" s="8" t="s">
        <v>16</v>
      </c>
      <c r="D42" s="8" t="s">
        <v>36</v>
      </c>
      <c r="E42" s="8" t="s">
        <v>18</v>
      </c>
      <c r="F42" s="8" t="s">
        <v>37</v>
      </c>
      <c r="G42" s="9" t="str">
        <f t="shared" si="1"/>
        <v>16O_No C</v>
      </c>
      <c r="H42" s="8" t="s">
        <v>20</v>
      </c>
      <c r="I42" s="10">
        <v>7.0</v>
      </c>
      <c r="J42" s="11" t="s">
        <v>38</v>
      </c>
      <c r="K42" s="12" t="str">
        <f>IFERROR(__xludf.DUMMYFUNCTION("TEXTJOIN("""",TRUE, REGEXEXTRACT(J42, ""\d+""),""-"",LEFT(C42,3),""-"",LEFT(D42),""-"",LEFT(E42,2),LEFT(F42,2), ""-R"",REGEXEXTRACT(H42, ""\d+"") )"),"7-Rhi-N-16No-R1")</f>
        <v>7-Rhi-N-16No-R1</v>
      </c>
      <c r="L42" s="8" t="s">
        <v>26</v>
      </c>
      <c r="M42" s="13">
        <v>5.0</v>
      </c>
      <c r="N42" s="14">
        <v>1.17</v>
      </c>
      <c r="O42" s="15">
        <f>SUM(N38:N43)</f>
        <v>6.95</v>
      </c>
      <c r="P42" s="16">
        <f t="shared" si="2"/>
        <v>4.429572976</v>
      </c>
    </row>
    <row r="43">
      <c r="A43" s="17"/>
      <c r="B43" s="18"/>
      <c r="C43" s="8" t="s">
        <v>16</v>
      </c>
      <c r="D43" s="8" t="s">
        <v>36</v>
      </c>
      <c r="E43" s="8" t="s">
        <v>18</v>
      </c>
      <c r="F43" s="8" t="s">
        <v>37</v>
      </c>
      <c r="G43" s="9" t="str">
        <f t="shared" si="1"/>
        <v>16O_No C</v>
      </c>
      <c r="H43" s="8" t="s">
        <v>20</v>
      </c>
      <c r="I43" s="10">
        <v>7.0</v>
      </c>
      <c r="J43" s="11" t="s">
        <v>38</v>
      </c>
      <c r="K43" s="12" t="str">
        <f>IFERROR(__xludf.DUMMYFUNCTION("TEXTJOIN("""",TRUE, REGEXEXTRACT(J43, ""\d+""),""-"",LEFT(C43,3),""-"",LEFT(D43),""-"",LEFT(E43,2),LEFT(F43,2), ""-R"",REGEXEXTRACT(H43, ""\d+"") )"),"7-Rhi-N-16No-R1")</f>
        <v>7-Rhi-N-16No-R1</v>
      </c>
      <c r="L43" s="8" t="s">
        <v>27</v>
      </c>
      <c r="M43" s="13">
        <v>6.0</v>
      </c>
      <c r="N43" s="14">
        <v>1.13</v>
      </c>
      <c r="O43" s="19">
        <f>SUM(N38:N43)</f>
        <v>6.95</v>
      </c>
      <c r="P43" s="20">
        <f t="shared" si="2"/>
        <v>4.429572976</v>
      </c>
    </row>
    <row r="44">
      <c r="A44" s="6"/>
      <c r="B44" s="21"/>
      <c r="C44" s="8" t="s">
        <v>16</v>
      </c>
      <c r="D44" s="8" t="s">
        <v>36</v>
      </c>
      <c r="E44" s="8" t="s">
        <v>30</v>
      </c>
      <c r="F44" s="8" t="s">
        <v>37</v>
      </c>
      <c r="G44" s="9" t="str">
        <f t="shared" si="1"/>
        <v>18O_No C</v>
      </c>
      <c r="H44" s="8" t="s">
        <v>20</v>
      </c>
      <c r="I44" s="10">
        <v>8.0</v>
      </c>
      <c r="J44" s="11" t="s">
        <v>39</v>
      </c>
      <c r="K44" s="12" t="str">
        <f>IFERROR(__xludf.DUMMYFUNCTION("TEXTJOIN("""",TRUE, REGEXEXTRACT(J44, ""\d+""),""-"",LEFT(C44,3),""-"",LEFT(D44),""-"",LEFT(E44,2),LEFT(F44,2), ""-R"",REGEXEXTRACT(H44, ""\d+"") )"),"8-Rhi-N-18No-R1")</f>
        <v>8-Rhi-N-18No-R1</v>
      </c>
      <c r="L44" s="8" t="s">
        <v>22</v>
      </c>
      <c r="M44" s="13">
        <v>1.0</v>
      </c>
      <c r="N44" s="14">
        <v>1.13</v>
      </c>
      <c r="O44" s="15">
        <f>SUM(N44:N49)</f>
        <v>6.96</v>
      </c>
      <c r="P44" s="16">
        <f t="shared" si="2"/>
        <v>4.435946463</v>
      </c>
    </row>
    <row r="45">
      <c r="A45" s="17"/>
      <c r="B45" s="18"/>
      <c r="C45" s="8" t="s">
        <v>16</v>
      </c>
      <c r="D45" s="8" t="s">
        <v>36</v>
      </c>
      <c r="E45" s="8" t="s">
        <v>30</v>
      </c>
      <c r="F45" s="8" t="s">
        <v>37</v>
      </c>
      <c r="G45" s="9" t="str">
        <f t="shared" si="1"/>
        <v>18O_No C</v>
      </c>
      <c r="H45" s="8" t="s">
        <v>20</v>
      </c>
      <c r="I45" s="10">
        <v>8.0</v>
      </c>
      <c r="J45" s="11" t="s">
        <v>39</v>
      </c>
      <c r="K45" s="12" t="str">
        <f>IFERROR(__xludf.DUMMYFUNCTION("TEXTJOIN("""",TRUE, REGEXEXTRACT(J45, ""\d+""),""-"",LEFT(C45,3),""-"",LEFT(D45),""-"",LEFT(E45,2),LEFT(F45,2), ""-R"",REGEXEXTRACT(H45, ""\d+"") )"),"8-Rhi-N-18No-R1")</f>
        <v>8-Rhi-N-18No-R1</v>
      </c>
      <c r="L45" s="8" t="s">
        <v>23</v>
      </c>
      <c r="M45" s="13">
        <v>2.0</v>
      </c>
      <c r="N45" s="14">
        <v>1.2</v>
      </c>
      <c r="O45" s="19">
        <f>SUM(N44:N49)</f>
        <v>6.96</v>
      </c>
      <c r="P45" s="20">
        <f t="shared" si="2"/>
        <v>4.435946463</v>
      </c>
    </row>
    <row r="46">
      <c r="A46" s="6"/>
      <c r="B46" s="21"/>
      <c r="C46" s="8" t="s">
        <v>16</v>
      </c>
      <c r="D46" s="8" t="s">
        <v>36</v>
      </c>
      <c r="E46" s="8" t="s">
        <v>30</v>
      </c>
      <c r="F46" s="8" t="s">
        <v>37</v>
      </c>
      <c r="G46" s="9" t="str">
        <f t="shared" si="1"/>
        <v>18O_No C</v>
      </c>
      <c r="H46" s="8" t="s">
        <v>20</v>
      </c>
      <c r="I46" s="10">
        <v>8.0</v>
      </c>
      <c r="J46" s="11" t="s">
        <v>39</v>
      </c>
      <c r="K46" s="12" t="str">
        <f>IFERROR(__xludf.DUMMYFUNCTION("TEXTJOIN("""",TRUE, REGEXEXTRACT(J46, ""\d+""),""-"",LEFT(C46,3),""-"",LEFT(D46),""-"",LEFT(E46,2),LEFT(F46,2), ""-R"",REGEXEXTRACT(H46, ""\d+"") )"),"8-Rhi-N-18No-R1")</f>
        <v>8-Rhi-N-18No-R1</v>
      </c>
      <c r="L46" s="8" t="s">
        <v>24</v>
      </c>
      <c r="M46" s="13">
        <v>3.0</v>
      </c>
      <c r="N46" s="14">
        <v>1.17</v>
      </c>
      <c r="O46" s="15">
        <f>SUM(N44:N49)</f>
        <v>6.96</v>
      </c>
      <c r="P46" s="16">
        <f t="shared" si="2"/>
        <v>4.435946463</v>
      </c>
    </row>
    <row r="47">
      <c r="A47" s="17"/>
      <c r="B47" s="18"/>
      <c r="C47" s="8" t="s">
        <v>16</v>
      </c>
      <c r="D47" s="8" t="s">
        <v>36</v>
      </c>
      <c r="E47" s="8" t="s">
        <v>30</v>
      </c>
      <c r="F47" s="8" t="s">
        <v>37</v>
      </c>
      <c r="G47" s="9" t="str">
        <f t="shared" si="1"/>
        <v>18O_No C</v>
      </c>
      <c r="H47" s="8" t="s">
        <v>20</v>
      </c>
      <c r="I47" s="10">
        <v>8.0</v>
      </c>
      <c r="J47" s="11" t="s">
        <v>39</v>
      </c>
      <c r="K47" s="12" t="str">
        <f>IFERROR(__xludf.DUMMYFUNCTION("TEXTJOIN("""",TRUE, REGEXEXTRACT(J47, ""\d+""),""-"",LEFT(C47,3),""-"",LEFT(D47),""-"",LEFT(E47,2),LEFT(F47,2), ""-R"",REGEXEXTRACT(H47, ""\d+"") )"),"8-Rhi-N-18No-R1")</f>
        <v>8-Rhi-N-18No-R1</v>
      </c>
      <c r="L47" s="8" t="s">
        <v>25</v>
      </c>
      <c r="M47" s="13">
        <v>4.0</v>
      </c>
      <c r="N47" s="14">
        <v>1.18</v>
      </c>
      <c r="O47" s="19">
        <f>SUM(N44:N49)</f>
        <v>6.96</v>
      </c>
      <c r="P47" s="20">
        <f t="shared" si="2"/>
        <v>4.435946463</v>
      </c>
    </row>
    <row r="48">
      <c r="A48" s="6"/>
      <c r="B48" s="21"/>
      <c r="C48" s="8" t="s">
        <v>16</v>
      </c>
      <c r="D48" s="8" t="s">
        <v>36</v>
      </c>
      <c r="E48" s="8" t="s">
        <v>30</v>
      </c>
      <c r="F48" s="8" t="s">
        <v>37</v>
      </c>
      <c r="G48" s="9" t="str">
        <f t="shared" si="1"/>
        <v>18O_No C</v>
      </c>
      <c r="H48" s="8" t="s">
        <v>20</v>
      </c>
      <c r="I48" s="10">
        <v>8.0</v>
      </c>
      <c r="J48" s="11" t="s">
        <v>39</v>
      </c>
      <c r="K48" s="12" t="str">
        <f>IFERROR(__xludf.DUMMYFUNCTION("TEXTJOIN("""",TRUE, REGEXEXTRACT(J48, ""\d+""),""-"",LEFT(C48,3),""-"",LEFT(D48),""-"",LEFT(E48,2),LEFT(F48,2), ""-R"",REGEXEXTRACT(H48, ""\d+"") )"),"8-Rhi-N-18No-R1")</f>
        <v>8-Rhi-N-18No-R1</v>
      </c>
      <c r="L48" s="8" t="s">
        <v>26</v>
      </c>
      <c r="M48" s="13">
        <v>5.0</v>
      </c>
      <c r="N48" s="14">
        <v>1.08</v>
      </c>
      <c r="O48" s="15">
        <f>SUM(N44:N49)</f>
        <v>6.96</v>
      </c>
      <c r="P48" s="16">
        <f t="shared" si="2"/>
        <v>4.435946463</v>
      </c>
    </row>
    <row r="49">
      <c r="A49" s="17"/>
      <c r="B49" s="18"/>
      <c r="C49" s="8" t="s">
        <v>16</v>
      </c>
      <c r="D49" s="8" t="s">
        <v>36</v>
      </c>
      <c r="E49" s="8" t="s">
        <v>30</v>
      </c>
      <c r="F49" s="8" t="s">
        <v>37</v>
      </c>
      <c r="G49" s="9" t="str">
        <f t="shared" si="1"/>
        <v>18O_No C</v>
      </c>
      <c r="H49" s="8" t="s">
        <v>20</v>
      </c>
      <c r="I49" s="10">
        <v>8.0</v>
      </c>
      <c r="J49" s="11" t="s">
        <v>39</v>
      </c>
      <c r="K49" s="12" t="str">
        <f>IFERROR(__xludf.DUMMYFUNCTION("TEXTJOIN("""",TRUE, REGEXEXTRACT(J49, ""\d+""),""-"",LEFT(C49,3),""-"",LEFT(D49),""-"",LEFT(E49,2),LEFT(F49,2), ""-R"",REGEXEXTRACT(H49, ""\d+"") )"),"8-Rhi-N-18No-R1")</f>
        <v>8-Rhi-N-18No-R1</v>
      </c>
      <c r="L49" s="8" t="s">
        <v>27</v>
      </c>
      <c r="M49" s="13">
        <v>6.0</v>
      </c>
      <c r="N49" s="14">
        <v>1.2</v>
      </c>
      <c r="O49" s="19">
        <f>SUM(N44:N49)</f>
        <v>6.96</v>
      </c>
      <c r="P49" s="20">
        <f t="shared" si="2"/>
        <v>4.435946463</v>
      </c>
    </row>
    <row r="50">
      <c r="A50" s="6"/>
      <c r="B50" s="21"/>
      <c r="C50" s="22" t="s">
        <v>40</v>
      </c>
      <c r="D50" s="23" t="s">
        <v>17</v>
      </c>
      <c r="E50" s="24" t="s">
        <v>18</v>
      </c>
      <c r="F50" s="25" t="s">
        <v>19</v>
      </c>
      <c r="G50" s="26" t="str">
        <f t="shared" si="1"/>
        <v>16O_13C</v>
      </c>
      <c r="H50" s="27" t="s">
        <v>20</v>
      </c>
      <c r="I50" s="10">
        <v>9.0</v>
      </c>
      <c r="J50" s="11" t="s">
        <v>41</v>
      </c>
      <c r="K50" s="12" t="str">
        <f>IFERROR(__xludf.DUMMYFUNCTION("TEXTJOIN("""",TRUE, REGEXEXTRACT(J50, ""\d+""),""-"",LEFT(C50,3),""-"",LEFT(D50),""-"",LEFT(E50,2),LEFT(F50,2), ""-R"",REGEXEXTRACT(H50, ""\d+"") )"),"9-Act-L-1613-R1")</f>
        <v>9-Act-L-1613-R1</v>
      </c>
      <c r="L50" s="8" t="s">
        <v>22</v>
      </c>
      <c r="M50" s="13">
        <v>1.0</v>
      </c>
      <c r="N50" s="14">
        <v>1.11</v>
      </c>
      <c r="O50" s="15">
        <f>SUM(N50:N55)</f>
        <v>7.02</v>
      </c>
      <c r="P50" s="16">
        <f t="shared" si="2"/>
        <v>4.47418738</v>
      </c>
    </row>
    <row r="51">
      <c r="A51" s="17"/>
      <c r="B51" s="18"/>
      <c r="C51" s="22" t="s">
        <v>40</v>
      </c>
      <c r="D51" s="23" t="s">
        <v>17</v>
      </c>
      <c r="E51" s="24" t="s">
        <v>18</v>
      </c>
      <c r="F51" s="25" t="s">
        <v>19</v>
      </c>
      <c r="G51" s="26" t="str">
        <f t="shared" si="1"/>
        <v>16O_13C</v>
      </c>
      <c r="H51" s="27" t="s">
        <v>20</v>
      </c>
      <c r="I51" s="10">
        <v>9.0</v>
      </c>
      <c r="J51" s="11" t="s">
        <v>41</v>
      </c>
      <c r="K51" s="12" t="str">
        <f>IFERROR(__xludf.DUMMYFUNCTION("TEXTJOIN("""",TRUE, REGEXEXTRACT(J51, ""\d+""),""-"",LEFT(C51,3),""-"",LEFT(D51),""-"",LEFT(E51,2),LEFT(F51,2), ""-R"",REGEXEXTRACT(H51, ""\d+"") )"),"9-Act-L-1613-R1")</f>
        <v>9-Act-L-1613-R1</v>
      </c>
      <c r="L51" s="8" t="s">
        <v>23</v>
      </c>
      <c r="M51" s="13">
        <v>2.0</v>
      </c>
      <c r="N51" s="14">
        <v>1.21</v>
      </c>
      <c r="O51" s="19">
        <f>SUM(N50:N55)</f>
        <v>7.02</v>
      </c>
      <c r="P51" s="20">
        <f t="shared" si="2"/>
        <v>4.47418738</v>
      </c>
    </row>
    <row r="52">
      <c r="A52" s="6"/>
      <c r="B52" s="21"/>
      <c r="C52" s="22" t="s">
        <v>40</v>
      </c>
      <c r="D52" s="23" t="s">
        <v>17</v>
      </c>
      <c r="E52" s="24" t="s">
        <v>18</v>
      </c>
      <c r="F52" s="25" t="s">
        <v>19</v>
      </c>
      <c r="G52" s="26" t="str">
        <f t="shared" si="1"/>
        <v>16O_13C</v>
      </c>
      <c r="H52" s="27" t="s">
        <v>20</v>
      </c>
      <c r="I52" s="10">
        <v>9.0</v>
      </c>
      <c r="J52" s="11" t="s">
        <v>41</v>
      </c>
      <c r="K52" s="12" t="str">
        <f>IFERROR(__xludf.DUMMYFUNCTION("TEXTJOIN("""",TRUE, REGEXEXTRACT(J52, ""\d+""),""-"",LEFT(C52,3),""-"",LEFT(D52),""-"",LEFT(E52,2),LEFT(F52,2), ""-R"",REGEXEXTRACT(H52, ""\d+"") )"),"9-Act-L-1613-R1")</f>
        <v>9-Act-L-1613-R1</v>
      </c>
      <c r="L52" s="8" t="s">
        <v>24</v>
      </c>
      <c r="M52" s="13">
        <v>3.0</v>
      </c>
      <c r="N52" s="14">
        <v>1.15</v>
      </c>
      <c r="O52" s="15">
        <f>SUM(N50:N55)</f>
        <v>7.02</v>
      </c>
      <c r="P52" s="16">
        <f t="shared" si="2"/>
        <v>4.47418738</v>
      </c>
    </row>
    <row r="53">
      <c r="A53" s="17"/>
      <c r="B53" s="18"/>
      <c r="C53" s="22" t="s">
        <v>40</v>
      </c>
      <c r="D53" s="23" t="s">
        <v>17</v>
      </c>
      <c r="E53" s="24" t="s">
        <v>18</v>
      </c>
      <c r="F53" s="25" t="s">
        <v>19</v>
      </c>
      <c r="G53" s="26" t="str">
        <f t="shared" si="1"/>
        <v>16O_13C</v>
      </c>
      <c r="H53" s="27" t="s">
        <v>20</v>
      </c>
      <c r="I53" s="10">
        <v>9.0</v>
      </c>
      <c r="J53" s="11" t="s">
        <v>41</v>
      </c>
      <c r="K53" s="12" t="str">
        <f>IFERROR(__xludf.DUMMYFUNCTION("TEXTJOIN("""",TRUE, REGEXEXTRACT(J53, ""\d+""),""-"",LEFT(C53,3),""-"",LEFT(D53),""-"",LEFT(E53,2),LEFT(F53,2), ""-R"",REGEXEXTRACT(H53, ""\d+"") )"),"9-Act-L-1613-R1")</f>
        <v>9-Act-L-1613-R1</v>
      </c>
      <c r="L53" s="8" t="s">
        <v>25</v>
      </c>
      <c r="M53" s="13">
        <v>4.0</v>
      </c>
      <c r="N53" s="14">
        <v>1.16</v>
      </c>
      <c r="O53" s="19">
        <f>SUM(N50:N55)</f>
        <v>7.02</v>
      </c>
      <c r="P53" s="20">
        <f t="shared" si="2"/>
        <v>4.47418738</v>
      </c>
    </row>
    <row r="54">
      <c r="A54" s="6"/>
      <c r="B54" s="21"/>
      <c r="C54" s="22" t="s">
        <v>40</v>
      </c>
      <c r="D54" s="23" t="s">
        <v>17</v>
      </c>
      <c r="E54" s="24" t="s">
        <v>18</v>
      </c>
      <c r="F54" s="25" t="s">
        <v>19</v>
      </c>
      <c r="G54" s="26" t="str">
        <f t="shared" si="1"/>
        <v>16O_13C</v>
      </c>
      <c r="H54" s="27" t="s">
        <v>20</v>
      </c>
      <c r="I54" s="10">
        <v>9.0</v>
      </c>
      <c r="J54" s="11" t="s">
        <v>41</v>
      </c>
      <c r="K54" s="12" t="str">
        <f>IFERROR(__xludf.DUMMYFUNCTION("TEXTJOIN("""",TRUE, REGEXEXTRACT(J54, ""\d+""),""-"",LEFT(C54,3),""-"",LEFT(D54),""-"",LEFT(E54,2),LEFT(F54,2), ""-R"",REGEXEXTRACT(H54, ""\d+"") )"),"9-Act-L-1613-R1")</f>
        <v>9-Act-L-1613-R1</v>
      </c>
      <c r="L54" s="8" t="s">
        <v>26</v>
      </c>
      <c r="M54" s="13">
        <v>5.0</v>
      </c>
      <c r="N54" s="14">
        <v>1.25</v>
      </c>
      <c r="O54" s="15">
        <f>SUM(N50:N55)</f>
        <v>7.02</v>
      </c>
      <c r="P54" s="16">
        <f t="shared" si="2"/>
        <v>4.47418738</v>
      </c>
    </row>
    <row r="55">
      <c r="A55" s="17"/>
      <c r="B55" s="18"/>
      <c r="C55" s="22" t="s">
        <v>40</v>
      </c>
      <c r="D55" s="23" t="s">
        <v>17</v>
      </c>
      <c r="E55" s="24" t="s">
        <v>18</v>
      </c>
      <c r="F55" s="25" t="s">
        <v>19</v>
      </c>
      <c r="G55" s="26" t="str">
        <f t="shared" si="1"/>
        <v>16O_13C</v>
      </c>
      <c r="H55" s="27" t="s">
        <v>20</v>
      </c>
      <c r="I55" s="10">
        <v>9.0</v>
      </c>
      <c r="J55" s="11" t="s">
        <v>41</v>
      </c>
      <c r="K55" s="12" t="str">
        <f>IFERROR(__xludf.DUMMYFUNCTION("TEXTJOIN("""",TRUE, REGEXEXTRACT(J55, ""\d+""),""-"",LEFT(C55,3),""-"",LEFT(D55),""-"",LEFT(E55,2),LEFT(F55,2), ""-R"",REGEXEXTRACT(H55, ""\d+"") )"),"9-Act-L-1613-R1")</f>
        <v>9-Act-L-1613-R1</v>
      </c>
      <c r="L55" s="8" t="s">
        <v>27</v>
      </c>
      <c r="M55" s="13">
        <v>6.0</v>
      </c>
      <c r="N55" s="14">
        <v>1.14</v>
      </c>
      <c r="O55" s="19">
        <f>SUM(N50:N55)</f>
        <v>7.02</v>
      </c>
      <c r="P55" s="20">
        <f t="shared" si="2"/>
        <v>4.47418738</v>
      </c>
    </row>
    <row r="56">
      <c r="A56" s="6"/>
      <c r="B56" s="21"/>
      <c r="C56" s="22" t="s">
        <v>40</v>
      </c>
      <c r="D56" s="28" t="s">
        <v>17</v>
      </c>
      <c r="E56" s="29" t="s">
        <v>18</v>
      </c>
      <c r="F56" s="29" t="s">
        <v>28</v>
      </c>
      <c r="G56" s="30" t="str">
        <f t="shared" si="1"/>
        <v>16O_12C</v>
      </c>
      <c r="H56" s="31" t="s">
        <v>20</v>
      </c>
      <c r="I56" s="10">
        <v>10.0</v>
      </c>
      <c r="J56" s="11" t="s">
        <v>42</v>
      </c>
      <c r="K56" s="12" t="str">
        <f>IFERROR(__xludf.DUMMYFUNCTION("TEXTJOIN("""",TRUE, REGEXEXTRACT(J56, ""\d+""),""-"",LEFT(C56,3),""-"",LEFT(D56),""-"",LEFT(E56,2),LEFT(F56,2), ""-R"",REGEXEXTRACT(H56, ""\d+"") )"),"10-Act-L-1612-R1")</f>
        <v>10-Act-L-1612-R1</v>
      </c>
      <c r="L56" s="8" t="s">
        <v>22</v>
      </c>
      <c r="M56" s="13">
        <v>1.0</v>
      </c>
      <c r="N56" s="14">
        <v>1.94</v>
      </c>
      <c r="O56" s="15">
        <f>SUM(N56:N61)</f>
        <v>11.56</v>
      </c>
      <c r="P56" s="16">
        <f t="shared" si="2"/>
        <v>7.367750159</v>
      </c>
    </row>
    <row r="57">
      <c r="A57" s="17"/>
      <c r="B57" s="18"/>
      <c r="C57" s="22" t="s">
        <v>40</v>
      </c>
      <c r="D57" s="28" t="s">
        <v>17</v>
      </c>
      <c r="E57" s="29" t="s">
        <v>18</v>
      </c>
      <c r="F57" s="29" t="s">
        <v>28</v>
      </c>
      <c r="G57" s="30" t="str">
        <f t="shared" si="1"/>
        <v>16O_12C</v>
      </c>
      <c r="H57" s="31" t="s">
        <v>20</v>
      </c>
      <c r="I57" s="10">
        <v>10.0</v>
      </c>
      <c r="J57" s="11" t="s">
        <v>42</v>
      </c>
      <c r="K57" s="12" t="str">
        <f>IFERROR(__xludf.DUMMYFUNCTION("TEXTJOIN("""",TRUE, REGEXEXTRACT(J57, ""\d+""),""-"",LEFT(C57,3),""-"",LEFT(D57),""-"",LEFT(E57,2),LEFT(F57,2), ""-R"",REGEXEXTRACT(H57, ""\d+"") )"),"10-Act-L-1612-R1")</f>
        <v>10-Act-L-1612-R1</v>
      </c>
      <c r="L57" s="8" t="s">
        <v>23</v>
      </c>
      <c r="M57" s="13">
        <v>2.0</v>
      </c>
      <c r="N57" s="14">
        <v>1.93</v>
      </c>
      <c r="O57" s="19">
        <f>SUM(N56:N61)</f>
        <v>11.56</v>
      </c>
      <c r="P57" s="20">
        <f t="shared" si="2"/>
        <v>7.367750159</v>
      </c>
    </row>
    <row r="58">
      <c r="A58" s="6"/>
      <c r="B58" s="21"/>
      <c r="C58" s="22" t="s">
        <v>40</v>
      </c>
      <c r="D58" s="28" t="s">
        <v>17</v>
      </c>
      <c r="E58" s="29" t="s">
        <v>18</v>
      </c>
      <c r="F58" s="29" t="s">
        <v>28</v>
      </c>
      <c r="G58" s="30" t="str">
        <f t="shared" si="1"/>
        <v>16O_12C</v>
      </c>
      <c r="H58" s="31" t="s">
        <v>20</v>
      </c>
      <c r="I58" s="10">
        <v>10.0</v>
      </c>
      <c r="J58" s="11" t="s">
        <v>42</v>
      </c>
      <c r="K58" s="12" t="str">
        <f>IFERROR(__xludf.DUMMYFUNCTION("TEXTJOIN("""",TRUE, REGEXEXTRACT(J58, ""\d+""),""-"",LEFT(C58,3),""-"",LEFT(D58),""-"",LEFT(E58,2),LEFT(F58,2), ""-R"",REGEXEXTRACT(H58, ""\d+"") )"),"10-Act-L-1612-R1")</f>
        <v>10-Act-L-1612-R1</v>
      </c>
      <c r="L58" s="8" t="s">
        <v>24</v>
      </c>
      <c r="M58" s="13">
        <v>3.0</v>
      </c>
      <c r="N58" s="14">
        <v>2.03</v>
      </c>
      <c r="O58" s="15">
        <f>SUM(N56:N61)</f>
        <v>11.56</v>
      </c>
      <c r="P58" s="16">
        <f t="shared" si="2"/>
        <v>7.367750159</v>
      </c>
    </row>
    <row r="59">
      <c r="A59" s="17"/>
      <c r="B59" s="18"/>
      <c r="C59" s="22" t="s">
        <v>40</v>
      </c>
      <c r="D59" s="28" t="s">
        <v>17</v>
      </c>
      <c r="E59" s="29" t="s">
        <v>18</v>
      </c>
      <c r="F59" s="29" t="s">
        <v>28</v>
      </c>
      <c r="G59" s="30" t="str">
        <f t="shared" si="1"/>
        <v>16O_12C</v>
      </c>
      <c r="H59" s="31" t="s">
        <v>20</v>
      </c>
      <c r="I59" s="10">
        <v>10.0</v>
      </c>
      <c r="J59" s="11" t="s">
        <v>42</v>
      </c>
      <c r="K59" s="12" t="str">
        <f>IFERROR(__xludf.DUMMYFUNCTION("TEXTJOIN("""",TRUE, REGEXEXTRACT(J59, ""\d+""),""-"",LEFT(C59,3),""-"",LEFT(D59),""-"",LEFT(E59,2),LEFT(F59,2), ""-R"",REGEXEXTRACT(H59, ""\d+"") )"),"10-Act-L-1612-R1")</f>
        <v>10-Act-L-1612-R1</v>
      </c>
      <c r="L59" s="8" t="s">
        <v>25</v>
      </c>
      <c r="M59" s="13">
        <v>4.0</v>
      </c>
      <c r="N59" s="14">
        <v>1.85</v>
      </c>
      <c r="O59" s="19">
        <f>SUM(N56:N61)</f>
        <v>11.56</v>
      </c>
      <c r="P59" s="20">
        <f t="shared" si="2"/>
        <v>7.367750159</v>
      </c>
    </row>
    <row r="60">
      <c r="A60" s="6"/>
      <c r="B60" s="21"/>
      <c r="C60" s="22" t="s">
        <v>40</v>
      </c>
      <c r="D60" s="28" t="s">
        <v>17</v>
      </c>
      <c r="E60" s="29" t="s">
        <v>18</v>
      </c>
      <c r="F60" s="29" t="s">
        <v>28</v>
      </c>
      <c r="G60" s="30" t="str">
        <f t="shared" si="1"/>
        <v>16O_12C</v>
      </c>
      <c r="H60" s="31" t="s">
        <v>20</v>
      </c>
      <c r="I60" s="10">
        <v>10.0</v>
      </c>
      <c r="J60" s="11" t="s">
        <v>42</v>
      </c>
      <c r="K60" s="12" t="str">
        <f>IFERROR(__xludf.DUMMYFUNCTION("TEXTJOIN("""",TRUE, REGEXEXTRACT(J60, ""\d+""),""-"",LEFT(C60,3),""-"",LEFT(D60),""-"",LEFT(E60,2),LEFT(F60,2), ""-R"",REGEXEXTRACT(H60, ""\d+"") )"),"10-Act-L-1612-R1")</f>
        <v>10-Act-L-1612-R1</v>
      </c>
      <c r="L60" s="8" t="s">
        <v>26</v>
      </c>
      <c r="M60" s="13">
        <v>5.0</v>
      </c>
      <c r="N60" s="14">
        <v>1.86</v>
      </c>
      <c r="O60" s="15">
        <f>SUM(N56:N61)</f>
        <v>11.56</v>
      </c>
      <c r="P60" s="16">
        <f t="shared" si="2"/>
        <v>7.367750159</v>
      </c>
    </row>
    <row r="61">
      <c r="A61" s="17"/>
      <c r="B61" s="18"/>
      <c r="C61" s="22" t="s">
        <v>40</v>
      </c>
      <c r="D61" s="28" t="s">
        <v>17</v>
      </c>
      <c r="E61" s="29" t="s">
        <v>18</v>
      </c>
      <c r="F61" s="29" t="s">
        <v>28</v>
      </c>
      <c r="G61" s="30" t="str">
        <f t="shared" si="1"/>
        <v>16O_12C</v>
      </c>
      <c r="H61" s="31" t="s">
        <v>20</v>
      </c>
      <c r="I61" s="10">
        <v>10.0</v>
      </c>
      <c r="J61" s="11" t="s">
        <v>42</v>
      </c>
      <c r="K61" s="12" t="str">
        <f>IFERROR(__xludf.DUMMYFUNCTION("TEXTJOIN("""",TRUE, REGEXEXTRACT(J61, ""\d+""),""-"",LEFT(C61,3),""-"",LEFT(D61),""-"",LEFT(E61,2),LEFT(F61,2), ""-R"",REGEXEXTRACT(H61, ""\d+"") )"),"10-Act-L-1612-R1")</f>
        <v>10-Act-L-1612-R1</v>
      </c>
      <c r="L61" s="8" t="s">
        <v>27</v>
      </c>
      <c r="M61" s="13">
        <v>6.0</v>
      </c>
      <c r="N61" s="14">
        <v>1.95</v>
      </c>
      <c r="O61" s="19">
        <f>SUM(N56:N61)</f>
        <v>11.56</v>
      </c>
      <c r="P61" s="20">
        <f t="shared" si="2"/>
        <v>7.367750159</v>
      </c>
    </row>
    <row r="62">
      <c r="A62" s="6"/>
      <c r="B62" s="21"/>
      <c r="C62" s="22" t="s">
        <v>40</v>
      </c>
      <c r="D62" s="23" t="s">
        <v>17</v>
      </c>
      <c r="E62" s="25" t="s">
        <v>30</v>
      </c>
      <c r="F62" s="24" t="s">
        <v>28</v>
      </c>
      <c r="G62" s="26" t="str">
        <f t="shared" si="1"/>
        <v>18O_12C</v>
      </c>
      <c r="H62" s="27" t="s">
        <v>20</v>
      </c>
      <c r="I62" s="10">
        <v>11.0</v>
      </c>
      <c r="J62" s="11" t="s">
        <v>43</v>
      </c>
      <c r="K62" s="12" t="str">
        <f>IFERROR(__xludf.DUMMYFUNCTION("TEXTJOIN("""",TRUE, REGEXEXTRACT(J62, ""\d+""),""-"",LEFT(C62,3),""-"",LEFT(D62),""-"",LEFT(E62,2),LEFT(F62,2), ""-R"",REGEXEXTRACT(H62, ""\d+"") )"),"11-Act-L-1812-R1")</f>
        <v>11-Act-L-1812-R1</v>
      </c>
      <c r="L62" s="8" t="s">
        <v>22</v>
      </c>
      <c r="M62" s="13">
        <v>1.0</v>
      </c>
      <c r="N62" s="14">
        <v>2.0</v>
      </c>
      <c r="O62" s="15">
        <f>SUM(N62:N67)</f>
        <v>11.66</v>
      </c>
      <c r="P62" s="16">
        <f t="shared" si="2"/>
        <v>7.431485022</v>
      </c>
    </row>
    <row r="63">
      <c r="A63" s="17"/>
      <c r="B63" s="18"/>
      <c r="C63" s="22" t="s">
        <v>40</v>
      </c>
      <c r="D63" s="23" t="s">
        <v>17</v>
      </c>
      <c r="E63" s="25" t="s">
        <v>30</v>
      </c>
      <c r="F63" s="24" t="s">
        <v>28</v>
      </c>
      <c r="G63" s="26" t="str">
        <f t="shared" si="1"/>
        <v>18O_12C</v>
      </c>
      <c r="H63" s="27" t="s">
        <v>20</v>
      </c>
      <c r="I63" s="10">
        <v>11.0</v>
      </c>
      <c r="J63" s="11" t="s">
        <v>43</v>
      </c>
      <c r="K63" s="12" t="str">
        <f>IFERROR(__xludf.DUMMYFUNCTION("TEXTJOIN("""",TRUE, REGEXEXTRACT(J63, ""\d+""),""-"",LEFT(C63,3),""-"",LEFT(D63),""-"",LEFT(E63,2),LEFT(F63,2), ""-R"",REGEXEXTRACT(H63, ""\d+"") )"),"11-Act-L-1812-R1")</f>
        <v>11-Act-L-1812-R1</v>
      </c>
      <c r="L63" s="8" t="s">
        <v>23</v>
      </c>
      <c r="M63" s="13">
        <v>2.0</v>
      </c>
      <c r="N63" s="14">
        <v>1.87</v>
      </c>
      <c r="O63" s="19">
        <f>SUM(N62:N67)</f>
        <v>11.66</v>
      </c>
      <c r="P63" s="20">
        <f t="shared" si="2"/>
        <v>7.431485022</v>
      </c>
    </row>
    <row r="64">
      <c r="A64" s="6"/>
      <c r="B64" s="21"/>
      <c r="C64" s="22" t="s">
        <v>40</v>
      </c>
      <c r="D64" s="23" t="s">
        <v>17</v>
      </c>
      <c r="E64" s="25" t="s">
        <v>30</v>
      </c>
      <c r="F64" s="24" t="s">
        <v>28</v>
      </c>
      <c r="G64" s="26" t="str">
        <f t="shared" si="1"/>
        <v>18O_12C</v>
      </c>
      <c r="H64" s="27" t="s">
        <v>20</v>
      </c>
      <c r="I64" s="10">
        <v>11.0</v>
      </c>
      <c r="J64" s="11" t="s">
        <v>43</v>
      </c>
      <c r="K64" s="12" t="str">
        <f>IFERROR(__xludf.DUMMYFUNCTION("TEXTJOIN("""",TRUE, REGEXEXTRACT(J64, ""\d+""),""-"",LEFT(C64,3),""-"",LEFT(D64),""-"",LEFT(E64,2),LEFT(F64,2), ""-R"",REGEXEXTRACT(H64, ""\d+"") )"),"11-Act-L-1812-R1")</f>
        <v>11-Act-L-1812-R1</v>
      </c>
      <c r="L64" s="8" t="s">
        <v>24</v>
      </c>
      <c r="M64" s="13">
        <v>3.0</v>
      </c>
      <c r="N64" s="14">
        <v>1.96</v>
      </c>
      <c r="O64" s="15">
        <f>SUM(N62:N67)</f>
        <v>11.66</v>
      </c>
      <c r="P64" s="16">
        <f t="shared" si="2"/>
        <v>7.431485022</v>
      </c>
    </row>
    <row r="65">
      <c r="A65" s="17"/>
      <c r="B65" s="18"/>
      <c r="C65" s="22" t="s">
        <v>40</v>
      </c>
      <c r="D65" s="23" t="s">
        <v>17</v>
      </c>
      <c r="E65" s="25" t="s">
        <v>30</v>
      </c>
      <c r="F65" s="24" t="s">
        <v>28</v>
      </c>
      <c r="G65" s="26" t="str">
        <f t="shared" si="1"/>
        <v>18O_12C</v>
      </c>
      <c r="H65" s="27" t="s">
        <v>20</v>
      </c>
      <c r="I65" s="10">
        <v>11.0</v>
      </c>
      <c r="J65" s="11" t="s">
        <v>43</v>
      </c>
      <c r="K65" s="12" t="str">
        <f>IFERROR(__xludf.DUMMYFUNCTION("TEXTJOIN("""",TRUE, REGEXEXTRACT(J65, ""\d+""),""-"",LEFT(C65,3),""-"",LEFT(D65),""-"",LEFT(E65,2),LEFT(F65,2), ""-R"",REGEXEXTRACT(H65, ""\d+"") )"),"11-Act-L-1812-R1")</f>
        <v>11-Act-L-1812-R1</v>
      </c>
      <c r="L65" s="8" t="s">
        <v>25</v>
      </c>
      <c r="M65" s="13">
        <v>4.0</v>
      </c>
      <c r="N65" s="14">
        <v>1.91</v>
      </c>
      <c r="O65" s="19">
        <f>SUM(N62:N67)</f>
        <v>11.66</v>
      </c>
      <c r="P65" s="20">
        <f t="shared" si="2"/>
        <v>7.431485022</v>
      </c>
    </row>
    <row r="66">
      <c r="A66" s="6"/>
      <c r="B66" s="21"/>
      <c r="C66" s="22" t="s">
        <v>40</v>
      </c>
      <c r="D66" s="23" t="s">
        <v>17</v>
      </c>
      <c r="E66" s="25" t="s">
        <v>30</v>
      </c>
      <c r="F66" s="24" t="s">
        <v>28</v>
      </c>
      <c r="G66" s="26" t="str">
        <f t="shared" si="1"/>
        <v>18O_12C</v>
      </c>
      <c r="H66" s="27" t="s">
        <v>20</v>
      </c>
      <c r="I66" s="10">
        <v>11.0</v>
      </c>
      <c r="J66" s="11" t="s">
        <v>43</v>
      </c>
      <c r="K66" s="12" t="str">
        <f>IFERROR(__xludf.DUMMYFUNCTION("TEXTJOIN("""",TRUE, REGEXEXTRACT(J66, ""\d+""),""-"",LEFT(C66,3),""-"",LEFT(D66),""-"",LEFT(E66,2),LEFT(F66,2), ""-R"",REGEXEXTRACT(H66, ""\d+"") )"),"11-Act-L-1812-R1")</f>
        <v>11-Act-L-1812-R1</v>
      </c>
      <c r="L66" s="8" t="s">
        <v>26</v>
      </c>
      <c r="M66" s="13">
        <v>5.0</v>
      </c>
      <c r="N66" s="14">
        <v>1.91</v>
      </c>
      <c r="O66" s="15">
        <f>SUM(N62:N67)</f>
        <v>11.66</v>
      </c>
      <c r="P66" s="16">
        <f t="shared" si="2"/>
        <v>7.431485022</v>
      </c>
    </row>
    <row r="67">
      <c r="A67" s="17"/>
      <c r="B67" s="18"/>
      <c r="C67" s="22" t="s">
        <v>40</v>
      </c>
      <c r="D67" s="23" t="s">
        <v>17</v>
      </c>
      <c r="E67" s="25" t="s">
        <v>30</v>
      </c>
      <c r="F67" s="24" t="s">
        <v>28</v>
      </c>
      <c r="G67" s="26" t="str">
        <f t="shared" si="1"/>
        <v>18O_12C</v>
      </c>
      <c r="H67" s="27" t="s">
        <v>20</v>
      </c>
      <c r="I67" s="10">
        <v>11.0</v>
      </c>
      <c r="J67" s="11" t="s">
        <v>43</v>
      </c>
      <c r="K67" s="12" t="str">
        <f>IFERROR(__xludf.DUMMYFUNCTION("TEXTJOIN("""",TRUE, REGEXEXTRACT(J67, ""\d+""),""-"",LEFT(C67,3),""-"",LEFT(D67),""-"",LEFT(E67,2),LEFT(F67,2), ""-R"",REGEXEXTRACT(H67, ""\d+"") )"),"11-Act-L-1812-R1")</f>
        <v>11-Act-L-1812-R1</v>
      </c>
      <c r="L67" s="8" t="s">
        <v>27</v>
      </c>
      <c r="M67" s="13">
        <v>6.0</v>
      </c>
      <c r="N67" s="14">
        <v>2.01</v>
      </c>
      <c r="O67" s="19">
        <f>SUM(N62:N67)</f>
        <v>11.66</v>
      </c>
      <c r="P67" s="20">
        <f t="shared" si="2"/>
        <v>7.431485022</v>
      </c>
    </row>
    <row r="68">
      <c r="A68" s="6"/>
      <c r="B68" s="21"/>
      <c r="C68" s="22" t="s">
        <v>40</v>
      </c>
      <c r="D68" s="32" t="s">
        <v>32</v>
      </c>
      <c r="E68" s="29" t="s">
        <v>18</v>
      </c>
      <c r="F68" s="33" t="s">
        <v>19</v>
      </c>
      <c r="G68" s="30" t="str">
        <f t="shared" si="1"/>
        <v>16O_13C</v>
      </c>
      <c r="H68" s="31" t="s">
        <v>20</v>
      </c>
      <c r="I68" s="10">
        <v>12.0</v>
      </c>
      <c r="J68" s="11" t="s">
        <v>44</v>
      </c>
      <c r="K68" s="12" t="str">
        <f>IFERROR(__xludf.DUMMYFUNCTION("TEXTJOIN("""",TRUE, REGEXEXTRACT(J68, ""\d+""),""-"",LEFT(C68,3),""-"",LEFT(D68),""-"",LEFT(E68,2),LEFT(F68,2), ""-R"",REGEXEXTRACT(H68, ""\d+"") )"),"12-Act-E-1613-R1")</f>
        <v>12-Act-E-1613-R1</v>
      </c>
      <c r="L68" s="8" t="s">
        <v>22</v>
      </c>
      <c r="M68" s="13">
        <v>1.0</v>
      </c>
      <c r="N68" s="14">
        <v>1.14</v>
      </c>
      <c r="O68" s="15">
        <f>SUM(N68:N73)</f>
        <v>7.16</v>
      </c>
      <c r="P68" s="16">
        <f t="shared" si="2"/>
        <v>4.563416189</v>
      </c>
      <c r="Y68" s="34" t="s">
        <v>45</v>
      </c>
    </row>
    <row r="69">
      <c r="A69" s="17"/>
      <c r="B69" s="18"/>
      <c r="C69" s="22" t="s">
        <v>40</v>
      </c>
      <c r="D69" s="32" t="s">
        <v>32</v>
      </c>
      <c r="E69" s="29" t="s">
        <v>18</v>
      </c>
      <c r="F69" s="33" t="s">
        <v>19</v>
      </c>
      <c r="G69" s="30" t="str">
        <f t="shared" si="1"/>
        <v>16O_13C</v>
      </c>
      <c r="H69" s="31" t="s">
        <v>20</v>
      </c>
      <c r="I69" s="10">
        <v>12.0</v>
      </c>
      <c r="J69" s="11" t="s">
        <v>44</v>
      </c>
      <c r="K69" s="12" t="str">
        <f>IFERROR(__xludf.DUMMYFUNCTION("TEXTJOIN("""",TRUE, REGEXEXTRACT(J69, ""\d+""),""-"",LEFT(C69,3),""-"",LEFT(D69),""-"",LEFT(E69,2),LEFT(F69,2), ""-R"",REGEXEXTRACT(H69, ""\d+"") )"),"12-Act-E-1613-R1")</f>
        <v>12-Act-E-1613-R1</v>
      </c>
      <c r="L69" s="8" t="s">
        <v>23</v>
      </c>
      <c r="M69" s="13">
        <v>2.0</v>
      </c>
      <c r="N69" s="14">
        <v>1.18</v>
      </c>
      <c r="O69" s="19">
        <f>SUM(N68:N73)</f>
        <v>7.16</v>
      </c>
      <c r="P69" s="20">
        <f t="shared" si="2"/>
        <v>4.563416189</v>
      </c>
    </row>
    <row r="70">
      <c r="A70" s="6"/>
      <c r="B70" s="21"/>
      <c r="C70" s="22" t="s">
        <v>40</v>
      </c>
      <c r="D70" s="32" t="s">
        <v>32</v>
      </c>
      <c r="E70" s="29" t="s">
        <v>18</v>
      </c>
      <c r="F70" s="33" t="s">
        <v>19</v>
      </c>
      <c r="G70" s="30" t="str">
        <f t="shared" si="1"/>
        <v>16O_13C</v>
      </c>
      <c r="H70" s="31" t="s">
        <v>20</v>
      </c>
      <c r="I70" s="10">
        <v>12.0</v>
      </c>
      <c r="J70" s="11" t="s">
        <v>44</v>
      </c>
      <c r="K70" s="12" t="str">
        <f>IFERROR(__xludf.DUMMYFUNCTION("TEXTJOIN("""",TRUE, REGEXEXTRACT(J70, ""\d+""),""-"",LEFT(C70,3),""-"",LEFT(D70),""-"",LEFT(E70,2),LEFT(F70,2), ""-R"",REGEXEXTRACT(H70, ""\d+"") )"),"12-Act-E-1613-R1")</f>
        <v>12-Act-E-1613-R1</v>
      </c>
      <c r="L70" s="8" t="s">
        <v>24</v>
      </c>
      <c r="M70" s="13">
        <v>3.0</v>
      </c>
      <c r="N70" s="14">
        <v>1.19</v>
      </c>
      <c r="O70" s="15">
        <f>SUM(N68:N73)</f>
        <v>7.16</v>
      </c>
      <c r="P70" s="16">
        <f t="shared" si="2"/>
        <v>4.563416189</v>
      </c>
    </row>
    <row r="71">
      <c r="A71" s="17"/>
      <c r="B71" s="18"/>
      <c r="C71" s="22" t="s">
        <v>40</v>
      </c>
      <c r="D71" s="32" t="s">
        <v>32</v>
      </c>
      <c r="E71" s="29" t="s">
        <v>18</v>
      </c>
      <c r="F71" s="33" t="s">
        <v>19</v>
      </c>
      <c r="G71" s="30" t="str">
        <f t="shared" si="1"/>
        <v>16O_13C</v>
      </c>
      <c r="H71" s="31" t="s">
        <v>20</v>
      </c>
      <c r="I71" s="10">
        <v>12.0</v>
      </c>
      <c r="J71" s="11" t="s">
        <v>44</v>
      </c>
      <c r="K71" s="12" t="str">
        <f>IFERROR(__xludf.DUMMYFUNCTION("TEXTJOIN("""",TRUE, REGEXEXTRACT(J71, ""\d+""),""-"",LEFT(C71,3),""-"",LEFT(D71),""-"",LEFT(E71,2),LEFT(F71,2), ""-R"",REGEXEXTRACT(H71, ""\d+"") )"),"12-Act-E-1613-R1")</f>
        <v>12-Act-E-1613-R1</v>
      </c>
      <c r="L71" s="8" t="s">
        <v>25</v>
      </c>
      <c r="M71" s="13">
        <v>4.0</v>
      </c>
      <c r="N71" s="14">
        <v>1.16</v>
      </c>
      <c r="O71" s="19">
        <f>SUM(N68:N73)</f>
        <v>7.16</v>
      </c>
      <c r="P71" s="20">
        <f t="shared" si="2"/>
        <v>4.563416189</v>
      </c>
    </row>
    <row r="72">
      <c r="A72" s="6"/>
      <c r="B72" s="21"/>
      <c r="C72" s="22" t="s">
        <v>40</v>
      </c>
      <c r="D72" s="32" t="s">
        <v>32</v>
      </c>
      <c r="E72" s="29" t="s">
        <v>18</v>
      </c>
      <c r="F72" s="33" t="s">
        <v>19</v>
      </c>
      <c r="G72" s="30" t="str">
        <f t="shared" si="1"/>
        <v>16O_13C</v>
      </c>
      <c r="H72" s="31" t="s">
        <v>20</v>
      </c>
      <c r="I72" s="10">
        <v>12.0</v>
      </c>
      <c r="J72" s="11" t="s">
        <v>44</v>
      </c>
      <c r="K72" s="12" t="str">
        <f>IFERROR(__xludf.DUMMYFUNCTION("TEXTJOIN("""",TRUE, REGEXEXTRACT(J72, ""\d+""),""-"",LEFT(C72,3),""-"",LEFT(D72),""-"",LEFT(E72,2),LEFT(F72,2), ""-R"",REGEXEXTRACT(H72, ""\d+"") )"),"12-Act-E-1613-R1")</f>
        <v>12-Act-E-1613-R1</v>
      </c>
      <c r="L72" s="8" t="s">
        <v>26</v>
      </c>
      <c r="M72" s="13">
        <v>5.0</v>
      </c>
      <c r="N72" s="14">
        <v>1.29</v>
      </c>
      <c r="O72" s="15">
        <f>SUM(N68:N73)</f>
        <v>7.16</v>
      </c>
      <c r="P72" s="16">
        <f t="shared" si="2"/>
        <v>4.563416189</v>
      </c>
    </row>
    <row r="73">
      <c r="A73" s="17"/>
      <c r="B73" s="18"/>
      <c r="C73" s="22" t="s">
        <v>40</v>
      </c>
      <c r="D73" s="32" t="s">
        <v>32</v>
      </c>
      <c r="E73" s="29" t="s">
        <v>18</v>
      </c>
      <c r="F73" s="33" t="s">
        <v>19</v>
      </c>
      <c r="G73" s="30" t="str">
        <f t="shared" si="1"/>
        <v>16O_13C</v>
      </c>
      <c r="H73" s="31" t="s">
        <v>20</v>
      </c>
      <c r="I73" s="10">
        <v>12.0</v>
      </c>
      <c r="J73" s="11" t="s">
        <v>44</v>
      </c>
      <c r="K73" s="12" t="str">
        <f>IFERROR(__xludf.DUMMYFUNCTION("TEXTJOIN("""",TRUE, REGEXEXTRACT(J73, ""\d+""),""-"",LEFT(C73,3),""-"",LEFT(D73),""-"",LEFT(E73,2),LEFT(F73,2), ""-R"",REGEXEXTRACT(H73, ""\d+"") )"),"12-Act-E-1613-R1")</f>
        <v>12-Act-E-1613-R1</v>
      </c>
      <c r="L73" s="8" t="s">
        <v>27</v>
      </c>
      <c r="M73" s="13">
        <v>6.0</v>
      </c>
      <c r="N73" s="14">
        <v>1.2</v>
      </c>
      <c r="O73" s="19">
        <f>SUM(N68:N73)</f>
        <v>7.16</v>
      </c>
      <c r="P73" s="20">
        <f t="shared" si="2"/>
        <v>4.563416189</v>
      </c>
    </row>
    <row r="74">
      <c r="A74" s="6"/>
      <c r="B74" s="21"/>
      <c r="C74" s="22" t="s">
        <v>40</v>
      </c>
      <c r="D74" s="35" t="s">
        <v>32</v>
      </c>
      <c r="E74" s="24" t="s">
        <v>18</v>
      </c>
      <c r="F74" s="24" t="s">
        <v>28</v>
      </c>
      <c r="G74" s="26" t="str">
        <f t="shared" si="1"/>
        <v>16O_12C</v>
      </c>
      <c r="H74" s="27" t="s">
        <v>20</v>
      </c>
      <c r="I74" s="10">
        <v>13.0</v>
      </c>
      <c r="J74" s="11" t="s">
        <v>46</v>
      </c>
      <c r="K74" s="12" t="str">
        <f>IFERROR(__xludf.DUMMYFUNCTION("TEXTJOIN("""",TRUE, REGEXEXTRACT(J74, ""\d+""),""-"",LEFT(C74,3),""-"",LEFT(D74),""-"",LEFT(E74,2),LEFT(F74,2), ""-R"",REGEXEXTRACT(H74, ""\d+"") )"),"13-Act-E-1612-R1")</f>
        <v>13-Act-E-1612-R1</v>
      </c>
      <c r="L74" s="8" t="s">
        <v>22</v>
      </c>
      <c r="M74" s="13">
        <v>1.0</v>
      </c>
      <c r="N74" s="14">
        <v>1.22</v>
      </c>
      <c r="O74" s="15">
        <f>SUM(N74:N79)</f>
        <v>7.01</v>
      </c>
      <c r="P74" s="16">
        <f t="shared" si="2"/>
        <v>4.467813894</v>
      </c>
    </row>
    <row r="75">
      <c r="A75" s="17"/>
      <c r="B75" s="18"/>
      <c r="C75" s="22" t="s">
        <v>40</v>
      </c>
      <c r="D75" s="35" t="s">
        <v>32</v>
      </c>
      <c r="E75" s="24" t="s">
        <v>18</v>
      </c>
      <c r="F75" s="24" t="s">
        <v>28</v>
      </c>
      <c r="G75" s="26" t="str">
        <f t="shared" si="1"/>
        <v>16O_12C</v>
      </c>
      <c r="H75" s="27" t="s">
        <v>20</v>
      </c>
      <c r="I75" s="10">
        <v>13.0</v>
      </c>
      <c r="J75" s="11" t="s">
        <v>46</v>
      </c>
      <c r="K75" s="12" t="str">
        <f>IFERROR(__xludf.DUMMYFUNCTION("TEXTJOIN("""",TRUE, REGEXEXTRACT(J75, ""\d+""),""-"",LEFT(C75,3),""-"",LEFT(D75),""-"",LEFT(E75,2),LEFT(F75,2), ""-R"",REGEXEXTRACT(H75, ""\d+"") )"),"13-Act-E-1612-R1")</f>
        <v>13-Act-E-1612-R1</v>
      </c>
      <c r="L75" s="8" t="s">
        <v>23</v>
      </c>
      <c r="M75" s="13">
        <v>2.0</v>
      </c>
      <c r="N75" s="14">
        <v>1.16</v>
      </c>
      <c r="O75" s="19">
        <f>SUM(N74:N79)</f>
        <v>7.01</v>
      </c>
      <c r="P75" s="20">
        <f t="shared" si="2"/>
        <v>4.467813894</v>
      </c>
    </row>
    <row r="76">
      <c r="A76" s="6"/>
      <c r="B76" s="21"/>
      <c r="C76" s="22" t="s">
        <v>40</v>
      </c>
      <c r="D76" s="35" t="s">
        <v>32</v>
      </c>
      <c r="E76" s="24" t="s">
        <v>18</v>
      </c>
      <c r="F76" s="24" t="s">
        <v>28</v>
      </c>
      <c r="G76" s="26" t="str">
        <f t="shared" si="1"/>
        <v>16O_12C</v>
      </c>
      <c r="H76" s="27" t="s">
        <v>20</v>
      </c>
      <c r="I76" s="10">
        <v>13.0</v>
      </c>
      <c r="J76" s="11" t="s">
        <v>46</v>
      </c>
      <c r="K76" s="12" t="str">
        <f>IFERROR(__xludf.DUMMYFUNCTION("TEXTJOIN("""",TRUE, REGEXEXTRACT(J76, ""\d+""),""-"",LEFT(C76,3),""-"",LEFT(D76),""-"",LEFT(E76,2),LEFT(F76,2), ""-R"",REGEXEXTRACT(H76, ""\d+"") )"),"13-Act-E-1612-R1")</f>
        <v>13-Act-E-1612-R1</v>
      </c>
      <c r="L76" s="8" t="s">
        <v>24</v>
      </c>
      <c r="M76" s="13">
        <v>3.0</v>
      </c>
      <c r="N76" s="14">
        <v>1.18</v>
      </c>
      <c r="O76" s="15">
        <f>SUM(N74:N79)</f>
        <v>7.01</v>
      </c>
      <c r="P76" s="16">
        <f t="shared" si="2"/>
        <v>4.467813894</v>
      </c>
    </row>
    <row r="77">
      <c r="A77" s="17"/>
      <c r="B77" s="18"/>
      <c r="C77" s="22" t="s">
        <v>40</v>
      </c>
      <c r="D77" s="35" t="s">
        <v>32</v>
      </c>
      <c r="E77" s="24" t="s">
        <v>18</v>
      </c>
      <c r="F77" s="24" t="s">
        <v>28</v>
      </c>
      <c r="G77" s="26" t="str">
        <f t="shared" si="1"/>
        <v>16O_12C</v>
      </c>
      <c r="H77" s="27" t="s">
        <v>20</v>
      </c>
      <c r="I77" s="10">
        <v>13.0</v>
      </c>
      <c r="J77" s="11" t="s">
        <v>46</v>
      </c>
      <c r="K77" s="12" t="str">
        <f>IFERROR(__xludf.DUMMYFUNCTION("TEXTJOIN("""",TRUE, REGEXEXTRACT(J77, ""\d+""),""-"",LEFT(C77,3),""-"",LEFT(D77),""-"",LEFT(E77,2),LEFT(F77,2), ""-R"",REGEXEXTRACT(H77, ""\d+"") )"),"13-Act-E-1612-R1")</f>
        <v>13-Act-E-1612-R1</v>
      </c>
      <c r="L77" s="8" t="s">
        <v>25</v>
      </c>
      <c r="M77" s="13">
        <v>4.0</v>
      </c>
      <c r="N77" s="14">
        <v>1.19</v>
      </c>
      <c r="O77" s="19">
        <f>SUM(N74:N79)</f>
        <v>7.01</v>
      </c>
      <c r="P77" s="20">
        <f t="shared" si="2"/>
        <v>4.467813894</v>
      </c>
    </row>
    <row r="78">
      <c r="A78" s="6"/>
      <c r="B78" s="21"/>
      <c r="C78" s="22" t="s">
        <v>40</v>
      </c>
      <c r="D78" s="35" t="s">
        <v>32</v>
      </c>
      <c r="E78" s="24" t="s">
        <v>18</v>
      </c>
      <c r="F78" s="24" t="s">
        <v>28</v>
      </c>
      <c r="G78" s="26" t="str">
        <f t="shared" si="1"/>
        <v>16O_12C</v>
      </c>
      <c r="H78" s="27" t="s">
        <v>20</v>
      </c>
      <c r="I78" s="10">
        <v>13.0</v>
      </c>
      <c r="J78" s="11" t="s">
        <v>46</v>
      </c>
      <c r="K78" s="12" t="str">
        <f>IFERROR(__xludf.DUMMYFUNCTION("TEXTJOIN("""",TRUE, REGEXEXTRACT(J78, ""\d+""),""-"",LEFT(C78,3),""-"",LEFT(D78),""-"",LEFT(E78,2),LEFT(F78,2), ""-R"",REGEXEXTRACT(H78, ""\d+"") )"),"13-Act-E-1612-R1")</f>
        <v>13-Act-E-1612-R1</v>
      </c>
      <c r="L78" s="8" t="s">
        <v>26</v>
      </c>
      <c r="M78" s="13">
        <v>5.0</v>
      </c>
      <c r="N78" s="14">
        <f>(2.32-1.19)</f>
        <v>1.13</v>
      </c>
      <c r="O78" s="15">
        <f>SUM(N74:N79)</f>
        <v>7.01</v>
      </c>
      <c r="P78" s="16">
        <f t="shared" si="2"/>
        <v>4.467813894</v>
      </c>
    </row>
    <row r="79">
      <c r="A79" s="17"/>
      <c r="B79" s="18"/>
      <c r="C79" s="22" t="s">
        <v>40</v>
      </c>
      <c r="D79" s="35" t="s">
        <v>32</v>
      </c>
      <c r="E79" s="24" t="s">
        <v>18</v>
      </c>
      <c r="F79" s="24" t="s">
        <v>28</v>
      </c>
      <c r="G79" s="26" t="str">
        <f t="shared" si="1"/>
        <v>16O_12C</v>
      </c>
      <c r="H79" s="27" t="s">
        <v>20</v>
      </c>
      <c r="I79" s="10">
        <v>13.0</v>
      </c>
      <c r="J79" s="11" t="s">
        <v>46</v>
      </c>
      <c r="K79" s="12" t="str">
        <f>IFERROR(__xludf.DUMMYFUNCTION("TEXTJOIN("""",TRUE, REGEXEXTRACT(J79, ""\d+""),""-"",LEFT(C79,3),""-"",LEFT(D79),""-"",LEFT(E79,2),LEFT(F79,2), ""-R"",REGEXEXTRACT(H79, ""\d+"") )"),"13-Act-E-1612-R1")</f>
        <v>13-Act-E-1612-R1</v>
      </c>
      <c r="L79" s="8" t="s">
        <v>27</v>
      </c>
      <c r="M79" s="13">
        <v>6.0</v>
      </c>
      <c r="N79" s="14">
        <v>1.13</v>
      </c>
      <c r="O79" s="19">
        <f>SUM(N74:N79)</f>
        <v>7.01</v>
      </c>
      <c r="P79" s="20">
        <f t="shared" si="2"/>
        <v>4.467813894</v>
      </c>
    </row>
    <row r="80">
      <c r="A80" s="6"/>
      <c r="B80" s="21"/>
      <c r="C80" s="22" t="s">
        <v>40</v>
      </c>
      <c r="D80" s="32" t="s">
        <v>32</v>
      </c>
      <c r="E80" s="33" t="s">
        <v>30</v>
      </c>
      <c r="F80" s="29" t="s">
        <v>28</v>
      </c>
      <c r="G80" s="30" t="str">
        <f t="shared" si="1"/>
        <v>18O_12C</v>
      </c>
      <c r="H80" s="31" t="s">
        <v>20</v>
      </c>
      <c r="I80" s="10">
        <v>14.0</v>
      </c>
      <c r="J80" s="11" t="s">
        <v>47</v>
      </c>
      <c r="K80" s="12" t="str">
        <f>IFERROR(__xludf.DUMMYFUNCTION("TEXTJOIN("""",TRUE, REGEXEXTRACT(J80, ""\d+""),""-"",LEFT(C80,3),""-"",LEFT(D80),""-"",LEFT(E80,2),LEFT(F80,2), ""-R"",REGEXEXTRACT(H80, ""\d+"") )"),"14-Act-E-1812-R1")</f>
        <v>14-Act-E-1812-R1</v>
      </c>
      <c r="L80" s="8" t="s">
        <v>22</v>
      </c>
      <c r="M80" s="13">
        <v>1.0</v>
      </c>
      <c r="N80" s="14">
        <v>1.1</v>
      </c>
      <c r="O80" s="15">
        <f>SUM(N80:N85)</f>
        <v>6.86</v>
      </c>
      <c r="P80" s="16">
        <f t="shared" si="2"/>
        <v>4.3722116</v>
      </c>
    </row>
    <row r="81">
      <c r="A81" s="17"/>
      <c r="B81" s="18"/>
      <c r="C81" s="22" t="s">
        <v>40</v>
      </c>
      <c r="D81" s="32" t="s">
        <v>32</v>
      </c>
      <c r="E81" s="33" t="s">
        <v>30</v>
      </c>
      <c r="F81" s="29" t="s">
        <v>28</v>
      </c>
      <c r="G81" s="30" t="str">
        <f t="shared" si="1"/>
        <v>18O_12C</v>
      </c>
      <c r="H81" s="31" t="s">
        <v>20</v>
      </c>
      <c r="I81" s="10">
        <v>14.0</v>
      </c>
      <c r="J81" s="11" t="s">
        <v>47</v>
      </c>
      <c r="K81" s="12" t="str">
        <f>IFERROR(__xludf.DUMMYFUNCTION("TEXTJOIN("""",TRUE, REGEXEXTRACT(J81, ""\d+""),""-"",LEFT(C81,3),""-"",LEFT(D81),""-"",LEFT(E81,2),LEFT(F81,2), ""-R"",REGEXEXTRACT(H81, ""\d+"") )"),"14-Act-E-1812-R1")</f>
        <v>14-Act-E-1812-R1</v>
      </c>
      <c r="L81" s="8" t="s">
        <v>23</v>
      </c>
      <c r="M81" s="13">
        <v>2.0</v>
      </c>
      <c r="N81" s="14">
        <v>1.12</v>
      </c>
      <c r="O81" s="19">
        <f>SUM(N80:N85)</f>
        <v>6.86</v>
      </c>
      <c r="P81" s="20">
        <f t="shared" si="2"/>
        <v>4.3722116</v>
      </c>
    </row>
    <row r="82">
      <c r="A82" s="6"/>
      <c r="B82" s="21"/>
      <c r="C82" s="22" t="s">
        <v>40</v>
      </c>
      <c r="D82" s="32" t="s">
        <v>32</v>
      </c>
      <c r="E82" s="33" t="s">
        <v>30</v>
      </c>
      <c r="F82" s="29" t="s">
        <v>28</v>
      </c>
      <c r="G82" s="30" t="str">
        <f t="shared" si="1"/>
        <v>18O_12C</v>
      </c>
      <c r="H82" s="31" t="s">
        <v>20</v>
      </c>
      <c r="I82" s="10">
        <v>14.0</v>
      </c>
      <c r="J82" s="11" t="s">
        <v>47</v>
      </c>
      <c r="K82" s="12" t="str">
        <f>IFERROR(__xludf.DUMMYFUNCTION("TEXTJOIN("""",TRUE, REGEXEXTRACT(J82, ""\d+""),""-"",LEFT(C82,3),""-"",LEFT(D82),""-"",LEFT(E82,2),LEFT(F82,2), ""-R"",REGEXEXTRACT(H82, ""\d+"") )"),"14-Act-E-1812-R1")</f>
        <v>14-Act-E-1812-R1</v>
      </c>
      <c r="L82" s="8" t="s">
        <v>24</v>
      </c>
      <c r="M82" s="13">
        <v>3.0</v>
      </c>
      <c r="N82" s="14">
        <v>1.16</v>
      </c>
      <c r="O82" s="15">
        <f>SUM(N80:N85)</f>
        <v>6.86</v>
      </c>
      <c r="P82" s="16">
        <f t="shared" si="2"/>
        <v>4.3722116</v>
      </c>
    </row>
    <row r="83">
      <c r="A83" s="17"/>
      <c r="B83" s="18"/>
      <c r="C83" s="22" t="s">
        <v>40</v>
      </c>
      <c r="D83" s="32" t="s">
        <v>32</v>
      </c>
      <c r="E83" s="33" t="s">
        <v>30</v>
      </c>
      <c r="F83" s="29" t="s">
        <v>28</v>
      </c>
      <c r="G83" s="30" t="str">
        <f t="shared" si="1"/>
        <v>18O_12C</v>
      </c>
      <c r="H83" s="31" t="s">
        <v>20</v>
      </c>
      <c r="I83" s="10">
        <v>14.0</v>
      </c>
      <c r="J83" s="11" t="s">
        <v>47</v>
      </c>
      <c r="K83" s="12" t="str">
        <f>IFERROR(__xludf.DUMMYFUNCTION("TEXTJOIN("""",TRUE, REGEXEXTRACT(J83, ""\d+""),""-"",LEFT(C83,3),""-"",LEFT(D83),""-"",LEFT(E83,2),LEFT(F83,2), ""-R"",REGEXEXTRACT(H83, ""\d+"") )"),"14-Act-E-1812-R1")</f>
        <v>14-Act-E-1812-R1</v>
      </c>
      <c r="L83" s="8" t="s">
        <v>25</v>
      </c>
      <c r="M83" s="13">
        <v>4.0</v>
      </c>
      <c r="N83" s="14">
        <v>1.16</v>
      </c>
      <c r="O83" s="19">
        <f>SUM(N80:N85)</f>
        <v>6.86</v>
      </c>
      <c r="P83" s="20">
        <f t="shared" si="2"/>
        <v>4.3722116</v>
      </c>
    </row>
    <row r="84">
      <c r="A84" s="6"/>
      <c r="B84" s="21"/>
      <c r="C84" s="22" t="s">
        <v>40</v>
      </c>
      <c r="D84" s="32" t="s">
        <v>32</v>
      </c>
      <c r="E84" s="33" t="s">
        <v>30</v>
      </c>
      <c r="F84" s="29" t="s">
        <v>28</v>
      </c>
      <c r="G84" s="30" t="str">
        <f t="shared" si="1"/>
        <v>18O_12C</v>
      </c>
      <c r="H84" s="31" t="s">
        <v>20</v>
      </c>
      <c r="I84" s="10">
        <v>14.0</v>
      </c>
      <c r="J84" s="11" t="s">
        <v>47</v>
      </c>
      <c r="K84" s="12" t="str">
        <f>IFERROR(__xludf.DUMMYFUNCTION("TEXTJOIN("""",TRUE, REGEXEXTRACT(J84, ""\d+""),""-"",LEFT(C84,3),""-"",LEFT(D84),""-"",LEFT(E84,2),LEFT(F84,2), ""-R"",REGEXEXTRACT(H84, ""\d+"") )"),"14-Act-E-1812-R1")</f>
        <v>14-Act-E-1812-R1</v>
      </c>
      <c r="L84" s="8" t="s">
        <v>26</v>
      </c>
      <c r="M84" s="13">
        <v>5.0</v>
      </c>
      <c r="N84" s="14">
        <v>1.19</v>
      </c>
      <c r="O84" s="15">
        <f>SUM(N80:N85)</f>
        <v>6.86</v>
      </c>
      <c r="P84" s="16">
        <f t="shared" si="2"/>
        <v>4.3722116</v>
      </c>
    </row>
    <row r="85">
      <c r="A85" s="17"/>
      <c r="B85" s="18"/>
      <c r="C85" s="22" t="s">
        <v>40</v>
      </c>
      <c r="D85" s="32" t="s">
        <v>32</v>
      </c>
      <c r="E85" s="33" t="s">
        <v>30</v>
      </c>
      <c r="F85" s="29" t="s">
        <v>28</v>
      </c>
      <c r="G85" s="30" t="str">
        <f t="shared" si="1"/>
        <v>18O_12C</v>
      </c>
      <c r="H85" s="31" t="s">
        <v>20</v>
      </c>
      <c r="I85" s="10">
        <v>14.0</v>
      </c>
      <c r="J85" s="11" t="s">
        <v>47</v>
      </c>
      <c r="K85" s="12" t="str">
        <f>IFERROR(__xludf.DUMMYFUNCTION("TEXTJOIN("""",TRUE, REGEXEXTRACT(J85, ""\d+""),""-"",LEFT(C85,3),""-"",LEFT(D85),""-"",LEFT(E85,2),LEFT(F85,2), ""-R"",REGEXEXTRACT(H85, ""\d+"") )"),"14-Act-E-1812-R1")</f>
        <v>14-Act-E-1812-R1</v>
      </c>
      <c r="L85" s="8" t="s">
        <v>27</v>
      </c>
      <c r="M85" s="13">
        <v>6.0</v>
      </c>
      <c r="N85" s="14">
        <v>1.13</v>
      </c>
      <c r="O85" s="19">
        <f>SUM(N80:N85)</f>
        <v>6.86</v>
      </c>
      <c r="P85" s="20">
        <f t="shared" si="2"/>
        <v>4.3722116</v>
      </c>
    </row>
    <row r="86">
      <c r="A86" s="6"/>
      <c r="B86" s="21"/>
      <c r="C86" s="22" t="s">
        <v>40</v>
      </c>
      <c r="D86" s="36" t="s">
        <v>36</v>
      </c>
      <c r="E86" s="24" t="s">
        <v>18</v>
      </c>
      <c r="F86" s="37" t="s">
        <v>37</v>
      </c>
      <c r="G86" s="26" t="str">
        <f t="shared" si="1"/>
        <v>16O_No C</v>
      </c>
      <c r="H86" s="27" t="s">
        <v>20</v>
      </c>
      <c r="I86" s="10">
        <v>15.0</v>
      </c>
      <c r="J86" s="11" t="s">
        <v>48</v>
      </c>
      <c r="K86" s="12" t="str">
        <f>IFERROR(__xludf.DUMMYFUNCTION("TEXTJOIN("""",TRUE, REGEXEXTRACT(J86, ""\d+""),""-"",LEFT(C86,3),""-"",LEFT(D86),""-"",LEFT(E86,2),LEFT(F86,2), ""-R"",REGEXEXTRACT(H86, ""\d+"") )"),"15-Act-N-16No-R1")</f>
        <v>15-Act-N-16No-R1</v>
      </c>
      <c r="L86" s="8" t="s">
        <v>22</v>
      </c>
      <c r="M86" s="13">
        <v>1.0</v>
      </c>
      <c r="N86" s="14">
        <v>1.19</v>
      </c>
      <c r="O86" s="15">
        <f>SUM(N86:N91)</f>
        <v>7.07</v>
      </c>
      <c r="P86" s="16">
        <f t="shared" si="2"/>
        <v>4.506054812</v>
      </c>
    </row>
    <row r="87">
      <c r="A87" s="17"/>
      <c r="B87" s="18"/>
      <c r="C87" s="22" t="s">
        <v>40</v>
      </c>
      <c r="D87" s="36" t="s">
        <v>36</v>
      </c>
      <c r="E87" s="24" t="s">
        <v>18</v>
      </c>
      <c r="F87" s="37" t="s">
        <v>37</v>
      </c>
      <c r="G87" s="26" t="str">
        <f t="shared" si="1"/>
        <v>16O_No C</v>
      </c>
      <c r="H87" s="27" t="s">
        <v>20</v>
      </c>
      <c r="I87" s="10">
        <v>15.0</v>
      </c>
      <c r="J87" s="11" t="s">
        <v>48</v>
      </c>
      <c r="K87" s="12" t="str">
        <f>IFERROR(__xludf.DUMMYFUNCTION("TEXTJOIN("""",TRUE, REGEXEXTRACT(J87, ""\d+""),""-"",LEFT(C87,3),""-"",LEFT(D87),""-"",LEFT(E87,2),LEFT(F87,2), ""-R"",REGEXEXTRACT(H87, ""\d+"") )"),"15-Act-N-16No-R1")</f>
        <v>15-Act-N-16No-R1</v>
      </c>
      <c r="L87" s="8" t="s">
        <v>23</v>
      </c>
      <c r="M87" s="13">
        <v>2.0</v>
      </c>
      <c r="N87" s="14">
        <v>1.16</v>
      </c>
      <c r="O87" s="19">
        <f>SUM(N86:N91)</f>
        <v>7.07</v>
      </c>
      <c r="P87" s="20">
        <f t="shared" si="2"/>
        <v>4.506054812</v>
      </c>
    </row>
    <row r="88">
      <c r="A88" s="6"/>
      <c r="B88" s="21"/>
      <c r="C88" s="22" t="s">
        <v>40</v>
      </c>
      <c r="D88" s="36" t="s">
        <v>36</v>
      </c>
      <c r="E88" s="24" t="s">
        <v>18</v>
      </c>
      <c r="F88" s="37" t="s">
        <v>37</v>
      </c>
      <c r="G88" s="26" t="str">
        <f t="shared" si="1"/>
        <v>16O_No C</v>
      </c>
      <c r="H88" s="27" t="s">
        <v>20</v>
      </c>
      <c r="I88" s="10">
        <v>15.0</v>
      </c>
      <c r="J88" s="11" t="s">
        <v>48</v>
      </c>
      <c r="K88" s="12" t="str">
        <f>IFERROR(__xludf.DUMMYFUNCTION("TEXTJOIN("""",TRUE, REGEXEXTRACT(J88, ""\d+""),""-"",LEFT(C88,3),""-"",LEFT(D88),""-"",LEFT(E88,2),LEFT(F88,2), ""-R"",REGEXEXTRACT(H88, ""\d+"") )"),"15-Act-N-16No-R1")</f>
        <v>15-Act-N-16No-R1</v>
      </c>
      <c r="L88" s="8" t="s">
        <v>24</v>
      </c>
      <c r="M88" s="13">
        <v>3.0</v>
      </c>
      <c r="N88" s="14">
        <v>1.18</v>
      </c>
      <c r="O88" s="15">
        <f>SUM(N86:N91)</f>
        <v>7.07</v>
      </c>
      <c r="P88" s="16">
        <f t="shared" si="2"/>
        <v>4.506054812</v>
      </c>
    </row>
    <row r="89">
      <c r="A89" s="17"/>
      <c r="B89" s="18"/>
      <c r="C89" s="22" t="s">
        <v>40</v>
      </c>
      <c r="D89" s="36" t="s">
        <v>36</v>
      </c>
      <c r="E89" s="24" t="s">
        <v>18</v>
      </c>
      <c r="F89" s="37" t="s">
        <v>37</v>
      </c>
      <c r="G89" s="26" t="str">
        <f t="shared" si="1"/>
        <v>16O_No C</v>
      </c>
      <c r="H89" s="27" t="s">
        <v>20</v>
      </c>
      <c r="I89" s="10">
        <v>15.0</v>
      </c>
      <c r="J89" s="11" t="s">
        <v>48</v>
      </c>
      <c r="K89" s="12" t="str">
        <f>IFERROR(__xludf.DUMMYFUNCTION("TEXTJOIN("""",TRUE, REGEXEXTRACT(J89, ""\d+""),""-"",LEFT(C89,3),""-"",LEFT(D89),""-"",LEFT(E89,2),LEFT(F89,2), ""-R"",REGEXEXTRACT(H89, ""\d+"") )"),"15-Act-N-16No-R1")</f>
        <v>15-Act-N-16No-R1</v>
      </c>
      <c r="L89" s="8" t="s">
        <v>25</v>
      </c>
      <c r="M89" s="13">
        <v>4.0</v>
      </c>
      <c r="N89" s="14">
        <f>(2.37-1.18)</f>
        <v>1.19</v>
      </c>
      <c r="O89" s="19">
        <f>SUM(N86:N91)</f>
        <v>7.07</v>
      </c>
      <c r="P89" s="20">
        <f t="shared" si="2"/>
        <v>4.506054812</v>
      </c>
    </row>
    <row r="90">
      <c r="A90" s="6"/>
      <c r="B90" s="21"/>
      <c r="C90" s="22" t="s">
        <v>40</v>
      </c>
      <c r="D90" s="36" t="s">
        <v>36</v>
      </c>
      <c r="E90" s="24" t="s">
        <v>18</v>
      </c>
      <c r="F90" s="37" t="s">
        <v>37</v>
      </c>
      <c r="G90" s="26" t="str">
        <f t="shared" si="1"/>
        <v>16O_No C</v>
      </c>
      <c r="H90" s="27" t="s">
        <v>20</v>
      </c>
      <c r="I90" s="10">
        <v>15.0</v>
      </c>
      <c r="J90" s="11" t="s">
        <v>48</v>
      </c>
      <c r="K90" s="12" t="str">
        <f>IFERROR(__xludf.DUMMYFUNCTION("TEXTJOIN("""",TRUE, REGEXEXTRACT(J90, ""\d+""),""-"",LEFT(C90,3),""-"",LEFT(D90),""-"",LEFT(E90,2),LEFT(F90,2), ""-R"",REGEXEXTRACT(H90, ""\d+"") )"),"15-Act-N-16No-R1")</f>
        <v>15-Act-N-16No-R1</v>
      </c>
      <c r="L90" s="8" t="s">
        <v>26</v>
      </c>
      <c r="M90" s="13">
        <v>5.0</v>
      </c>
      <c r="N90" s="14">
        <v>1.17</v>
      </c>
      <c r="O90" s="15">
        <f>SUM(N86:N91)</f>
        <v>7.07</v>
      </c>
      <c r="P90" s="16">
        <f t="shared" si="2"/>
        <v>4.506054812</v>
      </c>
    </row>
    <row r="91">
      <c r="A91" s="17"/>
      <c r="B91" s="18"/>
      <c r="C91" s="22" t="s">
        <v>40</v>
      </c>
      <c r="D91" s="36" t="s">
        <v>36</v>
      </c>
      <c r="E91" s="24" t="s">
        <v>18</v>
      </c>
      <c r="F91" s="37" t="s">
        <v>37</v>
      </c>
      <c r="G91" s="26" t="str">
        <f t="shared" si="1"/>
        <v>16O_No C</v>
      </c>
      <c r="H91" s="27" t="s">
        <v>20</v>
      </c>
      <c r="I91" s="10">
        <v>15.0</v>
      </c>
      <c r="J91" s="11" t="s">
        <v>48</v>
      </c>
      <c r="K91" s="12" t="str">
        <f>IFERROR(__xludf.DUMMYFUNCTION("TEXTJOIN("""",TRUE, REGEXEXTRACT(J91, ""\d+""),""-"",LEFT(C91,3),""-"",LEFT(D91),""-"",LEFT(E91,2),LEFT(F91,2), ""-R"",REGEXEXTRACT(H91, ""\d+"") )"),"15-Act-N-16No-R1")</f>
        <v>15-Act-N-16No-R1</v>
      </c>
      <c r="L91" s="8" t="s">
        <v>27</v>
      </c>
      <c r="M91" s="13">
        <v>6.0</v>
      </c>
      <c r="N91" s="14">
        <v>1.18</v>
      </c>
      <c r="O91" s="19">
        <f>SUM(N86:N91)</f>
        <v>7.07</v>
      </c>
      <c r="P91" s="20">
        <f t="shared" si="2"/>
        <v>4.506054812</v>
      </c>
    </row>
    <row r="92">
      <c r="A92" s="6"/>
      <c r="B92" s="21"/>
      <c r="C92" s="22" t="s">
        <v>40</v>
      </c>
      <c r="D92" s="38" t="s">
        <v>36</v>
      </c>
      <c r="E92" s="33" t="s">
        <v>30</v>
      </c>
      <c r="F92" s="39" t="s">
        <v>37</v>
      </c>
      <c r="G92" s="30" t="str">
        <f t="shared" si="1"/>
        <v>18O_No C</v>
      </c>
      <c r="H92" s="31" t="s">
        <v>20</v>
      </c>
      <c r="I92" s="10">
        <v>16.0</v>
      </c>
      <c r="J92" s="11" t="s">
        <v>49</v>
      </c>
      <c r="K92" s="12" t="str">
        <f>IFERROR(__xludf.DUMMYFUNCTION("TEXTJOIN("""",TRUE, REGEXEXTRACT(J92, ""\d+""),""-"",LEFT(C92,3),""-"",LEFT(D92),""-"",LEFT(E92,2),LEFT(F92,2), ""-R"",REGEXEXTRACT(H92, ""\d+"") )"),"16-Act-N-18No-R1")</f>
        <v>16-Act-N-18No-R1</v>
      </c>
      <c r="L92" s="8" t="s">
        <v>22</v>
      </c>
      <c r="M92" s="13">
        <v>1.0</v>
      </c>
      <c r="N92" s="14">
        <v>1.2</v>
      </c>
      <c r="O92" s="15">
        <f>SUM(N92:N97)</f>
        <v>7.05</v>
      </c>
      <c r="P92" s="16">
        <f t="shared" si="2"/>
        <v>4.493307839</v>
      </c>
    </row>
    <row r="93">
      <c r="A93" s="17"/>
      <c r="B93" s="18"/>
      <c r="C93" s="22" t="s">
        <v>40</v>
      </c>
      <c r="D93" s="38" t="s">
        <v>36</v>
      </c>
      <c r="E93" s="33" t="s">
        <v>30</v>
      </c>
      <c r="F93" s="39" t="s">
        <v>37</v>
      </c>
      <c r="G93" s="30" t="str">
        <f t="shared" si="1"/>
        <v>18O_No C</v>
      </c>
      <c r="H93" s="31" t="s">
        <v>20</v>
      </c>
      <c r="I93" s="10">
        <v>16.0</v>
      </c>
      <c r="J93" s="11" t="s">
        <v>49</v>
      </c>
      <c r="K93" s="12" t="str">
        <f>IFERROR(__xludf.DUMMYFUNCTION("TEXTJOIN("""",TRUE, REGEXEXTRACT(J93, ""\d+""),""-"",LEFT(C93,3),""-"",LEFT(D93),""-"",LEFT(E93,2),LEFT(F93,2), ""-R"",REGEXEXTRACT(H93, ""\d+"") )"),"16-Act-N-18No-R1")</f>
        <v>16-Act-N-18No-R1</v>
      </c>
      <c r="L93" s="8" t="s">
        <v>23</v>
      </c>
      <c r="M93" s="13">
        <v>2.0</v>
      </c>
      <c r="N93" s="14">
        <v>1.2</v>
      </c>
      <c r="O93" s="19">
        <f>SUM(N92:N97)</f>
        <v>7.05</v>
      </c>
      <c r="P93" s="20">
        <f t="shared" si="2"/>
        <v>4.493307839</v>
      </c>
    </row>
    <row r="94">
      <c r="A94" s="6"/>
      <c r="B94" s="21"/>
      <c r="C94" s="22" t="s">
        <v>40</v>
      </c>
      <c r="D94" s="38" t="s">
        <v>36</v>
      </c>
      <c r="E94" s="33" t="s">
        <v>30</v>
      </c>
      <c r="F94" s="39" t="s">
        <v>37</v>
      </c>
      <c r="G94" s="30" t="str">
        <f t="shared" si="1"/>
        <v>18O_No C</v>
      </c>
      <c r="H94" s="31" t="s">
        <v>20</v>
      </c>
      <c r="I94" s="10">
        <v>16.0</v>
      </c>
      <c r="J94" s="11" t="s">
        <v>49</v>
      </c>
      <c r="K94" s="12" t="str">
        <f>IFERROR(__xludf.DUMMYFUNCTION("TEXTJOIN("""",TRUE, REGEXEXTRACT(J94, ""\d+""),""-"",LEFT(C94,3),""-"",LEFT(D94),""-"",LEFT(E94,2),LEFT(F94,2), ""-R"",REGEXEXTRACT(H94, ""\d+"") )"),"16-Act-N-18No-R1")</f>
        <v>16-Act-N-18No-R1</v>
      </c>
      <c r="L94" s="8" t="s">
        <v>24</v>
      </c>
      <c r="M94" s="13">
        <v>3.0</v>
      </c>
      <c r="N94" s="14">
        <v>1.14</v>
      </c>
      <c r="O94" s="15">
        <f>SUM(N92:N97)</f>
        <v>7.05</v>
      </c>
      <c r="P94" s="16">
        <f t="shared" si="2"/>
        <v>4.493307839</v>
      </c>
    </row>
    <row r="95">
      <c r="A95" s="17"/>
      <c r="B95" s="18"/>
      <c r="C95" s="22" t="s">
        <v>40</v>
      </c>
      <c r="D95" s="38" t="s">
        <v>36</v>
      </c>
      <c r="E95" s="33" t="s">
        <v>30</v>
      </c>
      <c r="F95" s="39" t="s">
        <v>37</v>
      </c>
      <c r="G95" s="30" t="str">
        <f t="shared" si="1"/>
        <v>18O_No C</v>
      </c>
      <c r="H95" s="31" t="s">
        <v>20</v>
      </c>
      <c r="I95" s="10">
        <v>16.0</v>
      </c>
      <c r="J95" s="11" t="s">
        <v>49</v>
      </c>
      <c r="K95" s="12" t="str">
        <f>IFERROR(__xludf.DUMMYFUNCTION("TEXTJOIN("""",TRUE, REGEXEXTRACT(J95, ""\d+""),""-"",LEFT(C95,3),""-"",LEFT(D95),""-"",LEFT(E95,2),LEFT(F95,2), ""-R"",REGEXEXTRACT(H95, ""\d+"") )"),"16-Act-N-18No-R1")</f>
        <v>16-Act-N-18No-R1</v>
      </c>
      <c r="L95" s="8" t="s">
        <v>25</v>
      </c>
      <c r="M95" s="13">
        <v>4.0</v>
      </c>
      <c r="N95" s="14">
        <v>1.12</v>
      </c>
      <c r="O95" s="19">
        <f>SUM(N92:N97)</f>
        <v>7.05</v>
      </c>
      <c r="P95" s="20">
        <f t="shared" si="2"/>
        <v>4.493307839</v>
      </c>
    </row>
    <row r="96">
      <c r="A96" s="6"/>
      <c r="B96" s="21"/>
      <c r="C96" s="22" t="s">
        <v>40</v>
      </c>
      <c r="D96" s="38" t="s">
        <v>36</v>
      </c>
      <c r="E96" s="33" t="s">
        <v>30</v>
      </c>
      <c r="F96" s="39" t="s">
        <v>37</v>
      </c>
      <c r="G96" s="30" t="str">
        <f t="shared" si="1"/>
        <v>18O_No C</v>
      </c>
      <c r="H96" s="31" t="s">
        <v>20</v>
      </c>
      <c r="I96" s="10">
        <v>16.0</v>
      </c>
      <c r="J96" s="11" t="s">
        <v>49</v>
      </c>
      <c r="K96" s="12" t="str">
        <f>IFERROR(__xludf.DUMMYFUNCTION("TEXTJOIN("""",TRUE, REGEXEXTRACT(J96, ""\d+""),""-"",LEFT(C96,3),""-"",LEFT(D96),""-"",LEFT(E96,2),LEFT(F96,2), ""-R"",REGEXEXTRACT(H96, ""\d+"") )"),"16-Act-N-18No-R1")</f>
        <v>16-Act-N-18No-R1</v>
      </c>
      <c r="L96" s="8" t="s">
        <v>26</v>
      </c>
      <c r="M96" s="13">
        <v>5.0</v>
      </c>
      <c r="N96" s="14">
        <v>1.18</v>
      </c>
      <c r="O96" s="15">
        <f>SUM(N92:N97)</f>
        <v>7.05</v>
      </c>
      <c r="P96" s="16">
        <f t="shared" si="2"/>
        <v>4.493307839</v>
      </c>
    </row>
    <row r="97">
      <c r="A97" s="17"/>
      <c r="B97" s="18"/>
      <c r="C97" s="22" t="s">
        <v>40</v>
      </c>
      <c r="D97" s="38" t="s">
        <v>36</v>
      </c>
      <c r="E97" s="33" t="s">
        <v>30</v>
      </c>
      <c r="F97" s="39" t="s">
        <v>37</v>
      </c>
      <c r="G97" s="30" t="str">
        <f t="shared" si="1"/>
        <v>18O_No C</v>
      </c>
      <c r="H97" s="31" t="s">
        <v>20</v>
      </c>
      <c r="I97" s="10">
        <v>16.0</v>
      </c>
      <c r="J97" s="11" t="s">
        <v>49</v>
      </c>
      <c r="K97" s="12" t="str">
        <f>IFERROR(__xludf.DUMMYFUNCTION("TEXTJOIN("""",TRUE, REGEXEXTRACT(J97, ""\d+""),""-"",LEFT(C97,3),""-"",LEFT(D97),""-"",LEFT(E97,2),LEFT(F97,2), ""-R"",REGEXEXTRACT(H97, ""\d+"") )"),"16-Act-N-18No-R1")</f>
        <v>16-Act-N-18No-R1</v>
      </c>
      <c r="L97" s="8" t="s">
        <v>27</v>
      </c>
      <c r="M97" s="13">
        <v>6.0</v>
      </c>
      <c r="N97" s="14">
        <v>1.21</v>
      </c>
      <c r="O97" s="19">
        <f>SUM(N92:N97)</f>
        <v>7.05</v>
      </c>
      <c r="P97" s="20">
        <f t="shared" si="2"/>
        <v>4.493307839</v>
      </c>
    </row>
    <row r="98">
      <c r="A98" s="6"/>
      <c r="B98" s="21"/>
      <c r="C98" s="22" t="s">
        <v>50</v>
      </c>
      <c r="D98" s="23" t="s">
        <v>17</v>
      </c>
      <c r="E98" s="24" t="s">
        <v>18</v>
      </c>
      <c r="F98" s="40" t="s">
        <v>28</v>
      </c>
      <c r="G98" s="26" t="str">
        <f t="shared" si="1"/>
        <v>16O_12C</v>
      </c>
      <c r="H98" s="27" t="s">
        <v>20</v>
      </c>
      <c r="I98" s="10">
        <v>17.0</v>
      </c>
      <c r="J98" s="11" t="s">
        <v>51</v>
      </c>
      <c r="K98" s="12" t="str">
        <f>IFERROR(__xludf.DUMMYFUNCTION("TEXTJOIN("""",TRUE, REGEXEXTRACT(J98, ""\d+""),""-"",LEFT(C98,3),""-"",LEFT(D98),""-"",LEFT(E98,2),LEFT(F98,2), ""-R"",REGEXEXTRACT(H98, ""\d+"") )"),"17-Per-L-1612-R1")</f>
        <v>17-Per-L-1612-R1</v>
      </c>
      <c r="L98" s="8" t="s">
        <v>22</v>
      </c>
      <c r="M98" s="13">
        <v>1.0</v>
      </c>
      <c r="N98" s="14">
        <v>1.28</v>
      </c>
      <c r="O98" s="15">
        <f>SUM(N98:N103)</f>
        <v>7.12</v>
      </c>
      <c r="P98" s="16">
        <f t="shared" si="2"/>
        <v>4.537922243</v>
      </c>
      <c r="Y98" s="34" t="s">
        <v>45</v>
      </c>
    </row>
    <row r="99">
      <c r="A99" s="17"/>
      <c r="B99" s="18"/>
      <c r="C99" s="22" t="s">
        <v>50</v>
      </c>
      <c r="D99" s="23" t="s">
        <v>17</v>
      </c>
      <c r="E99" s="24" t="s">
        <v>18</v>
      </c>
      <c r="F99" s="40" t="s">
        <v>28</v>
      </c>
      <c r="G99" s="26" t="str">
        <f t="shared" si="1"/>
        <v>16O_12C</v>
      </c>
      <c r="H99" s="27" t="s">
        <v>20</v>
      </c>
      <c r="I99" s="10">
        <v>17.0</v>
      </c>
      <c r="J99" s="11" t="s">
        <v>51</v>
      </c>
      <c r="K99" s="12" t="str">
        <f>IFERROR(__xludf.DUMMYFUNCTION("TEXTJOIN("""",TRUE, REGEXEXTRACT(J99, ""\d+""),""-"",LEFT(C99,3),""-"",LEFT(D99),""-"",LEFT(E99,2),LEFT(F99,2), ""-R"",REGEXEXTRACT(H99, ""\d+"") )"),"17-Per-L-1612-R1")</f>
        <v>17-Per-L-1612-R1</v>
      </c>
      <c r="L99" s="8" t="s">
        <v>23</v>
      </c>
      <c r="M99" s="13">
        <v>2.0</v>
      </c>
      <c r="N99" s="14">
        <v>1.11</v>
      </c>
      <c r="O99" s="19">
        <f>SUM(N98:N103)</f>
        <v>7.12</v>
      </c>
      <c r="P99" s="20">
        <f t="shared" si="2"/>
        <v>4.537922243</v>
      </c>
    </row>
    <row r="100">
      <c r="A100" s="6"/>
      <c r="B100" s="21"/>
      <c r="C100" s="22" t="s">
        <v>50</v>
      </c>
      <c r="D100" s="23" t="s">
        <v>17</v>
      </c>
      <c r="E100" s="24" t="s">
        <v>18</v>
      </c>
      <c r="F100" s="40" t="s">
        <v>28</v>
      </c>
      <c r="G100" s="26" t="str">
        <f t="shared" si="1"/>
        <v>16O_12C</v>
      </c>
      <c r="H100" s="27" t="s">
        <v>20</v>
      </c>
      <c r="I100" s="10">
        <v>17.0</v>
      </c>
      <c r="J100" s="11" t="s">
        <v>51</v>
      </c>
      <c r="K100" s="12" t="str">
        <f>IFERROR(__xludf.DUMMYFUNCTION("TEXTJOIN("""",TRUE, REGEXEXTRACT(J100, ""\d+""),""-"",LEFT(C100,3),""-"",LEFT(D100),""-"",LEFT(E100,2),LEFT(F100,2), ""-R"",REGEXEXTRACT(H100, ""\d+"") )"),"17-Per-L-1612-R1")</f>
        <v>17-Per-L-1612-R1</v>
      </c>
      <c r="L100" s="8" t="s">
        <v>24</v>
      </c>
      <c r="M100" s="13">
        <v>3.0</v>
      </c>
      <c r="N100" s="14">
        <v>1.16</v>
      </c>
      <c r="O100" s="15">
        <f>SUM(N98:N103)</f>
        <v>7.12</v>
      </c>
      <c r="P100" s="16">
        <f t="shared" si="2"/>
        <v>4.537922243</v>
      </c>
    </row>
    <row r="101">
      <c r="A101" s="17"/>
      <c r="B101" s="18"/>
      <c r="C101" s="22" t="s">
        <v>50</v>
      </c>
      <c r="D101" s="23" t="s">
        <v>17</v>
      </c>
      <c r="E101" s="24" t="s">
        <v>18</v>
      </c>
      <c r="F101" s="40" t="s">
        <v>28</v>
      </c>
      <c r="G101" s="26" t="str">
        <f t="shared" si="1"/>
        <v>16O_12C</v>
      </c>
      <c r="H101" s="27" t="s">
        <v>20</v>
      </c>
      <c r="I101" s="10">
        <v>17.0</v>
      </c>
      <c r="J101" s="11" t="s">
        <v>51</v>
      </c>
      <c r="K101" s="12" t="str">
        <f>IFERROR(__xludf.DUMMYFUNCTION("TEXTJOIN("""",TRUE, REGEXEXTRACT(J101, ""\d+""),""-"",LEFT(C101,3),""-"",LEFT(D101),""-"",LEFT(E101,2),LEFT(F101,2), ""-R"",REGEXEXTRACT(H101, ""\d+"") )"),"17-Per-L-1612-R1")</f>
        <v>17-Per-L-1612-R1</v>
      </c>
      <c r="L101" s="8" t="s">
        <v>25</v>
      </c>
      <c r="M101" s="13">
        <v>4.0</v>
      </c>
      <c r="N101" s="14">
        <v>1.22</v>
      </c>
      <c r="O101" s="19">
        <f>SUM(N98:N103)</f>
        <v>7.12</v>
      </c>
      <c r="P101" s="20">
        <f t="shared" si="2"/>
        <v>4.537922243</v>
      </c>
    </row>
    <row r="102">
      <c r="A102" s="6"/>
      <c r="B102" s="21"/>
      <c r="C102" s="22" t="s">
        <v>50</v>
      </c>
      <c r="D102" s="23" t="s">
        <v>17</v>
      </c>
      <c r="E102" s="24" t="s">
        <v>18</v>
      </c>
      <c r="F102" s="40" t="s">
        <v>28</v>
      </c>
      <c r="G102" s="26" t="str">
        <f t="shared" si="1"/>
        <v>16O_12C</v>
      </c>
      <c r="H102" s="27" t="s">
        <v>20</v>
      </c>
      <c r="I102" s="10">
        <v>17.0</v>
      </c>
      <c r="J102" s="11" t="s">
        <v>51</v>
      </c>
      <c r="K102" s="12" t="str">
        <f>IFERROR(__xludf.DUMMYFUNCTION("TEXTJOIN("""",TRUE, REGEXEXTRACT(J102, ""\d+""),""-"",LEFT(C102,3),""-"",LEFT(D102),""-"",LEFT(E102,2),LEFT(F102,2), ""-R"",REGEXEXTRACT(H102, ""\d+"") )"),"17-Per-L-1612-R1")</f>
        <v>17-Per-L-1612-R1</v>
      </c>
      <c r="L102" s="8" t="s">
        <v>26</v>
      </c>
      <c r="M102" s="13">
        <v>5.0</v>
      </c>
      <c r="N102" s="14">
        <v>1.16</v>
      </c>
      <c r="O102" s="15">
        <f>SUM(N98:N103)</f>
        <v>7.12</v>
      </c>
      <c r="P102" s="16">
        <f t="shared" si="2"/>
        <v>4.537922243</v>
      </c>
    </row>
    <row r="103">
      <c r="A103" s="17"/>
      <c r="B103" s="18"/>
      <c r="C103" s="22" t="s">
        <v>50</v>
      </c>
      <c r="D103" s="23" t="s">
        <v>17</v>
      </c>
      <c r="E103" s="24" t="s">
        <v>18</v>
      </c>
      <c r="F103" s="40" t="s">
        <v>28</v>
      </c>
      <c r="G103" s="26" t="str">
        <f t="shared" si="1"/>
        <v>16O_12C</v>
      </c>
      <c r="H103" s="27" t="s">
        <v>20</v>
      </c>
      <c r="I103" s="10">
        <v>17.0</v>
      </c>
      <c r="J103" s="11" t="s">
        <v>51</v>
      </c>
      <c r="K103" s="12" t="str">
        <f>IFERROR(__xludf.DUMMYFUNCTION("TEXTJOIN("""",TRUE, REGEXEXTRACT(J103, ""\d+""),""-"",LEFT(C103,3),""-"",LEFT(D103),""-"",LEFT(E103,2),LEFT(F103,2), ""-R"",REGEXEXTRACT(H103, ""\d+"") )"),"17-Per-L-1612-R1")</f>
        <v>17-Per-L-1612-R1</v>
      </c>
      <c r="L103" s="8" t="s">
        <v>27</v>
      </c>
      <c r="M103" s="13">
        <v>6.0</v>
      </c>
      <c r="N103" s="14">
        <v>1.19</v>
      </c>
      <c r="O103" s="19">
        <f>SUM(N98:N103)</f>
        <v>7.12</v>
      </c>
      <c r="P103" s="20">
        <f t="shared" si="2"/>
        <v>4.537922243</v>
      </c>
    </row>
    <row r="104">
      <c r="A104" s="6"/>
      <c r="B104" s="21"/>
      <c r="C104" s="22" t="s">
        <v>50</v>
      </c>
      <c r="D104" s="41" t="s">
        <v>32</v>
      </c>
      <c r="E104" s="29" t="s">
        <v>18</v>
      </c>
      <c r="F104" s="29" t="s">
        <v>28</v>
      </c>
      <c r="G104" s="30" t="str">
        <f t="shared" si="1"/>
        <v>16O_12C</v>
      </c>
      <c r="H104" s="31" t="s">
        <v>20</v>
      </c>
      <c r="I104" s="10">
        <v>18.0</v>
      </c>
      <c r="J104" s="11" t="s">
        <v>52</v>
      </c>
      <c r="K104" s="12" t="str">
        <f>IFERROR(__xludf.DUMMYFUNCTION("TEXTJOIN("""",TRUE, REGEXEXTRACT(J104, ""\d+""),""-"",LEFT(C104,3),""-"",LEFT(D104),""-"",LEFT(E104,2),LEFT(F104,2), ""-R"",REGEXEXTRACT(H104, ""\d+"") )"),"18-Per-E-1612-R1")</f>
        <v>18-Per-E-1612-R1</v>
      </c>
      <c r="L104" s="8" t="s">
        <v>22</v>
      </c>
      <c r="M104" s="13">
        <v>1.0</v>
      </c>
      <c r="N104" s="14">
        <v>1.27</v>
      </c>
      <c r="O104" s="15">
        <f>SUM(N104:N109)</f>
        <v>7.33</v>
      </c>
      <c r="P104" s="16">
        <f t="shared" si="2"/>
        <v>4.671765456</v>
      </c>
    </row>
    <row r="105">
      <c r="A105" s="17"/>
      <c r="B105" s="18"/>
      <c r="C105" s="22" t="s">
        <v>50</v>
      </c>
      <c r="D105" s="41" t="s">
        <v>32</v>
      </c>
      <c r="E105" s="29" t="s">
        <v>18</v>
      </c>
      <c r="F105" s="29" t="s">
        <v>28</v>
      </c>
      <c r="G105" s="30" t="str">
        <f t="shared" si="1"/>
        <v>16O_12C</v>
      </c>
      <c r="H105" s="31" t="s">
        <v>20</v>
      </c>
      <c r="I105" s="10">
        <v>18.0</v>
      </c>
      <c r="J105" s="11" t="s">
        <v>52</v>
      </c>
      <c r="K105" s="12" t="str">
        <f>IFERROR(__xludf.DUMMYFUNCTION("TEXTJOIN("""",TRUE, REGEXEXTRACT(J105, ""\d+""),""-"",LEFT(C105,3),""-"",LEFT(D105),""-"",LEFT(E105,2),LEFT(F105,2), ""-R"",REGEXEXTRACT(H105, ""\d+"") )"),"18-Per-E-1612-R1")</f>
        <v>18-Per-E-1612-R1</v>
      </c>
      <c r="L105" s="8" t="s">
        <v>23</v>
      </c>
      <c r="M105" s="13">
        <v>2.0</v>
      </c>
      <c r="N105" s="14">
        <v>1.27</v>
      </c>
      <c r="O105" s="19">
        <f>SUM(N104:N109)</f>
        <v>7.33</v>
      </c>
      <c r="P105" s="20">
        <f t="shared" si="2"/>
        <v>4.671765456</v>
      </c>
    </row>
    <row r="106">
      <c r="A106" s="6"/>
      <c r="B106" s="21"/>
      <c r="C106" s="22" t="s">
        <v>50</v>
      </c>
      <c r="D106" s="41" t="s">
        <v>32</v>
      </c>
      <c r="E106" s="29" t="s">
        <v>18</v>
      </c>
      <c r="F106" s="29" t="s">
        <v>28</v>
      </c>
      <c r="G106" s="30" t="str">
        <f t="shared" si="1"/>
        <v>16O_12C</v>
      </c>
      <c r="H106" s="31" t="s">
        <v>20</v>
      </c>
      <c r="I106" s="10">
        <v>18.0</v>
      </c>
      <c r="J106" s="11" t="s">
        <v>52</v>
      </c>
      <c r="K106" s="12" t="str">
        <f>IFERROR(__xludf.DUMMYFUNCTION("TEXTJOIN("""",TRUE, REGEXEXTRACT(J106, ""\d+""),""-"",LEFT(C106,3),""-"",LEFT(D106),""-"",LEFT(E106,2),LEFT(F106,2), ""-R"",REGEXEXTRACT(H106, ""\d+"") )"),"18-Per-E-1612-R1")</f>
        <v>18-Per-E-1612-R1</v>
      </c>
      <c r="L106" s="8" t="s">
        <v>24</v>
      </c>
      <c r="M106" s="13">
        <v>3.0</v>
      </c>
      <c r="N106" s="14">
        <v>1.25</v>
      </c>
      <c r="O106" s="15">
        <f>SUM(N104:N109)</f>
        <v>7.33</v>
      </c>
      <c r="P106" s="16">
        <f t="shared" si="2"/>
        <v>4.671765456</v>
      </c>
    </row>
    <row r="107">
      <c r="A107" s="17"/>
      <c r="B107" s="18"/>
      <c r="C107" s="22" t="s">
        <v>50</v>
      </c>
      <c r="D107" s="41" t="s">
        <v>32</v>
      </c>
      <c r="E107" s="29" t="s">
        <v>18</v>
      </c>
      <c r="F107" s="29" t="s">
        <v>28</v>
      </c>
      <c r="G107" s="30" t="str">
        <f t="shared" si="1"/>
        <v>16O_12C</v>
      </c>
      <c r="H107" s="31" t="s">
        <v>20</v>
      </c>
      <c r="I107" s="10">
        <v>18.0</v>
      </c>
      <c r="J107" s="11" t="s">
        <v>52</v>
      </c>
      <c r="K107" s="12" t="str">
        <f>IFERROR(__xludf.DUMMYFUNCTION("TEXTJOIN("""",TRUE, REGEXEXTRACT(J107, ""\d+""),""-"",LEFT(C107,3),""-"",LEFT(D107),""-"",LEFT(E107,2),LEFT(F107,2), ""-R"",REGEXEXTRACT(H107, ""\d+"") )"),"18-Per-E-1612-R1")</f>
        <v>18-Per-E-1612-R1</v>
      </c>
      <c r="L107" s="8" t="s">
        <v>25</v>
      </c>
      <c r="M107" s="13">
        <v>4.0</v>
      </c>
      <c r="N107" s="14">
        <v>1.16</v>
      </c>
      <c r="O107" s="19">
        <f>SUM(N104:N109)</f>
        <v>7.33</v>
      </c>
      <c r="P107" s="20">
        <f t="shared" si="2"/>
        <v>4.671765456</v>
      </c>
    </row>
    <row r="108">
      <c r="A108" s="6"/>
      <c r="B108" s="21"/>
      <c r="C108" s="22" t="s">
        <v>50</v>
      </c>
      <c r="D108" s="41" t="s">
        <v>32</v>
      </c>
      <c r="E108" s="29" t="s">
        <v>18</v>
      </c>
      <c r="F108" s="29" t="s">
        <v>28</v>
      </c>
      <c r="G108" s="30" t="str">
        <f t="shared" si="1"/>
        <v>16O_12C</v>
      </c>
      <c r="H108" s="31" t="s">
        <v>20</v>
      </c>
      <c r="I108" s="10">
        <v>18.0</v>
      </c>
      <c r="J108" s="11" t="s">
        <v>52</v>
      </c>
      <c r="K108" s="12" t="str">
        <f>IFERROR(__xludf.DUMMYFUNCTION("TEXTJOIN("""",TRUE, REGEXEXTRACT(J108, ""\d+""),""-"",LEFT(C108,3),""-"",LEFT(D108),""-"",LEFT(E108,2),LEFT(F108,2), ""-R"",REGEXEXTRACT(H108, ""\d+"") )"),"18-Per-E-1612-R1")</f>
        <v>18-Per-E-1612-R1</v>
      </c>
      <c r="L108" s="8" t="s">
        <v>26</v>
      </c>
      <c r="M108" s="13">
        <v>5.0</v>
      </c>
      <c r="N108" s="14">
        <v>1.17</v>
      </c>
      <c r="O108" s="15">
        <f>SUM(N104:N109)</f>
        <v>7.33</v>
      </c>
      <c r="P108" s="16">
        <f t="shared" si="2"/>
        <v>4.671765456</v>
      </c>
    </row>
    <row r="109">
      <c r="A109" s="17"/>
      <c r="B109" s="18"/>
      <c r="C109" s="22" t="s">
        <v>50</v>
      </c>
      <c r="D109" s="41" t="s">
        <v>32</v>
      </c>
      <c r="E109" s="29" t="s">
        <v>18</v>
      </c>
      <c r="F109" s="29" t="s">
        <v>28</v>
      </c>
      <c r="G109" s="30" t="str">
        <f t="shared" si="1"/>
        <v>16O_12C</v>
      </c>
      <c r="H109" s="31" t="s">
        <v>20</v>
      </c>
      <c r="I109" s="10">
        <v>18.0</v>
      </c>
      <c r="J109" s="11" t="s">
        <v>52</v>
      </c>
      <c r="K109" s="12" t="str">
        <f>IFERROR(__xludf.DUMMYFUNCTION("TEXTJOIN("""",TRUE, REGEXEXTRACT(J109, ""\d+""),""-"",LEFT(C109,3),""-"",LEFT(D109),""-"",LEFT(E109,2),LEFT(F109,2), ""-R"",REGEXEXTRACT(H109, ""\d+"") )"),"18-Per-E-1612-R1")</f>
        <v>18-Per-E-1612-R1</v>
      </c>
      <c r="L109" s="8" t="s">
        <v>27</v>
      </c>
      <c r="M109" s="13">
        <v>6.0</v>
      </c>
      <c r="N109" s="14">
        <v>1.21</v>
      </c>
      <c r="O109" s="19">
        <f>SUM(N104:N109)</f>
        <v>7.33</v>
      </c>
      <c r="P109" s="20">
        <f t="shared" si="2"/>
        <v>4.671765456</v>
      </c>
    </row>
    <row r="110">
      <c r="A110" s="6"/>
      <c r="B110" s="21"/>
      <c r="C110" s="22" t="s">
        <v>50</v>
      </c>
      <c r="D110" s="42" t="s">
        <v>36</v>
      </c>
      <c r="E110" s="40" t="s">
        <v>18</v>
      </c>
      <c r="F110" s="43" t="s">
        <v>37</v>
      </c>
      <c r="G110" s="26" t="str">
        <f t="shared" si="1"/>
        <v>16O_No C</v>
      </c>
      <c r="H110" s="27" t="s">
        <v>20</v>
      </c>
      <c r="I110" s="10">
        <v>19.0</v>
      </c>
      <c r="J110" s="11" t="s">
        <v>53</v>
      </c>
      <c r="K110" s="12" t="str">
        <f>IFERROR(__xludf.DUMMYFUNCTION("TEXTJOIN("""",TRUE, REGEXEXTRACT(J110, ""\d+""),""-"",LEFT(C110,3),""-"",LEFT(D110),""-"",LEFT(E110,2),LEFT(F110,2), ""-R"",REGEXEXTRACT(H110, ""\d+"") )"),"19-Per-N-16No-R1")</f>
        <v>19-Per-N-16No-R1</v>
      </c>
      <c r="L110" s="8" t="s">
        <v>22</v>
      </c>
      <c r="M110" s="13">
        <v>1.0</v>
      </c>
      <c r="N110" s="14">
        <v>1.27</v>
      </c>
      <c r="O110" s="15">
        <f>SUM(N110:N115)</f>
        <v>7.45</v>
      </c>
      <c r="P110" s="16">
        <f t="shared" si="2"/>
        <v>4.748247291</v>
      </c>
    </row>
    <row r="111">
      <c r="A111" s="17"/>
      <c r="B111" s="18"/>
      <c r="C111" s="22" t="s">
        <v>50</v>
      </c>
      <c r="D111" s="42" t="s">
        <v>36</v>
      </c>
      <c r="E111" s="40" t="s">
        <v>18</v>
      </c>
      <c r="F111" s="43" t="s">
        <v>37</v>
      </c>
      <c r="G111" s="26" t="str">
        <f t="shared" si="1"/>
        <v>16O_No C</v>
      </c>
      <c r="H111" s="27" t="s">
        <v>20</v>
      </c>
      <c r="I111" s="10">
        <v>19.0</v>
      </c>
      <c r="J111" s="11" t="s">
        <v>53</v>
      </c>
      <c r="K111" s="12" t="str">
        <f>IFERROR(__xludf.DUMMYFUNCTION("TEXTJOIN("""",TRUE, REGEXEXTRACT(J111, ""\d+""),""-"",LEFT(C111,3),""-"",LEFT(D111),""-"",LEFT(E111,2),LEFT(F111,2), ""-R"",REGEXEXTRACT(H111, ""\d+"") )"),"19-Per-N-16No-R1")</f>
        <v>19-Per-N-16No-R1</v>
      </c>
      <c r="L111" s="8" t="s">
        <v>23</v>
      </c>
      <c r="M111" s="13">
        <v>2.0</v>
      </c>
      <c r="N111" s="14">
        <v>1.21</v>
      </c>
      <c r="O111" s="19">
        <f>SUM(N110:N115)</f>
        <v>7.45</v>
      </c>
      <c r="P111" s="20">
        <f t="shared" si="2"/>
        <v>4.748247291</v>
      </c>
    </row>
    <row r="112">
      <c r="A112" s="6"/>
      <c r="B112" s="21"/>
      <c r="C112" s="22" t="s">
        <v>50</v>
      </c>
      <c r="D112" s="42" t="s">
        <v>36</v>
      </c>
      <c r="E112" s="40" t="s">
        <v>18</v>
      </c>
      <c r="F112" s="43" t="s">
        <v>37</v>
      </c>
      <c r="G112" s="26" t="str">
        <f t="shared" si="1"/>
        <v>16O_No C</v>
      </c>
      <c r="H112" s="27" t="s">
        <v>20</v>
      </c>
      <c r="I112" s="10">
        <v>19.0</v>
      </c>
      <c r="J112" s="11" t="s">
        <v>53</v>
      </c>
      <c r="K112" s="12" t="str">
        <f>IFERROR(__xludf.DUMMYFUNCTION("TEXTJOIN("""",TRUE, REGEXEXTRACT(J112, ""\d+""),""-"",LEFT(C112,3),""-"",LEFT(D112),""-"",LEFT(E112,2),LEFT(F112,2), ""-R"",REGEXEXTRACT(H112, ""\d+"") )"),"19-Per-N-16No-R1")</f>
        <v>19-Per-N-16No-R1</v>
      </c>
      <c r="L112" s="8" t="s">
        <v>24</v>
      </c>
      <c r="M112" s="13">
        <v>3.0</v>
      </c>
      <c r="N112" s="14">
        <v>1.26</v>
      </c>
      <c r="O112" s="15">
        <f>SUM(N110:N115)</f>
        <v>7.45</v>
      </c>
      <c r="P112" s="16">
        <f t="shared" si="2"/>
        <v>4.748247291</v>
      </c>
    </row>
    <row r="113">
      <c r="A113" s="17"/>
      <c r="B113" s="18"/>
      <c r="C113" s="22" t="s">
        <v>50</v>
      </c>
      <c r="D113" s="42" t="s">
        <v>36</v>
      </c>
      <c r="E113" s="40" t="s">
        <v>18</v>
      </c>
      <c r="F113" s="43" t="s">
        <v>37</v>
      </c>
      <c r="G113" s="26" t="str">
        <f t="shared" si="1"/>
        <v>16O_No C</v>
      </c>
      <c r="H113" s="27" t="s">
        <v>20</v>
      </c>
      <c r="I113" s="10">
        <v>19.0</v>
      </c>
      <c r="J113" s="11" t="s">
        <v>53</v>
      </c>
      <c r="K113" s="12" t="str">
        <f>IFERROR(__xludf.DUMMYFUNCTION("TEXTJOIN("""",TRUE, REGEXEXTRACT(J113, ""\d+""),""-"",LEFT(C113,3),""-"",LEFT(D113),""-"",LEFT(E113,2),LEFT(F113,2), ""-R"",REGEXEXTRACT(H113, ""\d+"") )"),"19-Per-N-16No-R1")</f>
        <v>19-Per-N-16No-R1</v>
      </c>
      <c r="L113" s="8" t="s">
        <v>25</v>
      </c>
      <c r="M113" s="13">
        <v>4.0</v>
      </c>
      <c r="N113" s="14">
        <v>1.2</v>
      </c>
      <c r="O113" s="19">
        <f>SUM(N110:N115)</f>
        <v>7.45</v>
      </c>
      <c r="P113" s="20">
        <f t="shared" si="2"/>
        <v>4.748247291</v>
      </c>
    </row>
    <row r="114">
      <c r="A114" s="6"/>
      <c r="B114" s="21"/>
      <c r="C114" s="22" t="s">
        <v>50</v>
      </c>
      <c r="D114" s="42" t="s">
        <v>36</v>
      </c>
      <c r="E114" s="40" t="s">
        <v>18</v>
      </c>
      <c r="F114" s="43" t="s">
        <v>37</v>
      </c>
      <c r="G114" s="26" t="str">
        <f t="shared" si="1"/>
        <v>16O_No C</v>
      </c>
      <c r="H114" s="27" t="s">
        <v>20</v>
      </c>
      <c r="I114" s="10">
        <v>19.0</v>
      </c>
      <c r="J114" s="11" t="s">
        <v>53</v>
      </c>
      <c r="K114" s="12" t="str">
        <f>IFERROR(__xludf.DUMMYFUNCTION("TEXTJOIN("""",TRUE, REGEXEXTRACT(J114, ""\d+""),""-"",LEFT(C114,3),""-"",LEFT(D114),""-"",LEFT(E114,2),LEFT(F114,2), ""-R"",REGEXEXTRACT(H114, ""\d+"") )"),"19-Per-N-16No-R1")</f>
        <v>19-Per-N-16No-R1</v>
      </c>
      <c r="L114" s="8" t="s">
        <v>26</v>
      </c>
      <c r="M114" s="13">
        <v>5.0</v>
      </c>
      <c r="N114" s="14">
        <v>1.23</v>
      </c>
      <c r="O114" s="15">
        <f>SUM(N110:N115)</f>
        <v>7.45</v>
      </c>
      <c r="P114" s="16">
        <f t="shared" si="2"/>
        <v>4.748247291</v>
      </c>
    </row>
    <row r="115">
      <c r="A115" s="17"/>
      <c r="B115" s="18"/>
      <c r="C115" s="22" t="s">
        <v>50</v>
      </c>
      <c r="D115" s="42" t="s">
        <v>36</v>
      </c>
      <c r="E115" s="40" t="s">
        <v>18</v>
      </c>
      <c r="F115" s="43" t="s">
        <v>37</v>
      </c>
      <c r="G115" s="26" t="str">
        <f t="shared" si="1"/>
        <v>16O_No C</v>
      </c>
      <c r="H115" s="27" t="s">
        <v>20</v>
      </c>
      <c r="I115" s="10">
        <v>19.0</v>
      </c>
      <c r="J115" s="11" t="s">
        <v>53</v>
      </c>
      <c r="K115" s="12" t="str">
        <f>IFERROR(__xludf.DUMMYFUNCTION("TEXTJOIN("""",TRUE, REGEXEXTRACT(J115, ""\d+""),""-"",LEFT(C115,3),""-"",LEFT(D115),""-"",LEFT(E115,2),LEFT(F115,2), ""-R"",REGEXEXTRACT(H115, ""\d+"") )"),"19-Per-N-16No-R1")</f>
        <v>19-Per-N-16No-R1</v>
      </c>
      <c r="L115" s="8" t="s">
        <v>27</v>
      </c>
      <c r="M115" s="13">
        <v>6.0</v>
      </c>
      <c r="N115" s="14">
        <v>1.28</v>
      </c>
      <c r="O115" s="19">
        <f>SUM(N110:N115)</f>
        <v>7.45</v>
      </c>
      <c r="P115" s="20">
        <f t="shared" si="2"/>
        <v>4.748247291</v>
      </c>
    </row>
    <row r="116">
      <c r="A116" s="6"/>
      <c r="B116" s="21"/>
      <c r="C116" s="44" t="s">
        <v>16</v>
      </c>
      <c r="D116" s="23" t="s">
        <v>17</v>
      </c>
      <c r="E116" s="24" t="s">
        <v>18</v>
      </c>
      <c r="F116" s="25" t="s">
        <v>19</v>
      </c>
      <c r="G116" s="26" t="str">
        <f t="shared" si="1"/>
        <v>16O_13C</v>
      </c>
      <c r="H116" s="45" t="s">
        <v>54</v>
      </c>
      <c r="I116" s="10">
        <v>20.0</v>
      </c>
      <c r="J116" s="11" t="s">
        <v>55</v>
      </c>
      <c r="K116" s="12" t="str">
        <f>IFERROR(__xludf.DUMMYFUNCTION("TEXTJOIN("""",TRUE, REGEXEXTRACT(J116, ""\d+""),""-"",LEFT(C116,3),""-"",LEFT(D116),""-"",LEFT(E116,2),LEFT(F116,2), ""-R"",REGEXEXTRACT(H116, ""\d+"") )"),"20-Rhi-L-1613-R2")</f>
        <v>20-Rhi-L-1613-R2</v>
      </c>
      <c r="L116" s="8" t="s">
        <v>22</v>
      </c>
      <c r="M116" s="13">
        <v>1.0</v>
      </c>
      <c r="N116" s="14">
        <v>1.21</v>
      </c>
      <c r="O116" s="15">
        <f>SUM(N116:N121)</f>
        <v>6.82</v>
      </c>
      <c r="P116" s="16">
        <f t="shared" si="2"/>
        <v>4.346717655</v>
      </c>
    </row>
    <row r="117">
      <c r="A117" s="17"/>
      <c r="B117" s="18"/>
      <c r="C117" s="44" t="s">
        <v>16</v>
      </c>
      <c r="D117" s="23" t="s">
        <v>17</v>
      </c>
      <c r="E117" s="24" t="s">
        <v>18</v>
      </c>
      <c r="F117" s="25" t="s">
        <v>19</v>
      </c>
      <c r="G117" s="26" t="str">
        <f t="shared" si="1"/>
        <v>16O_13C</v>
      </c>
      <c r="H117" s="45" t="s">
        <v>54</v>
      </c>
      <c r="I117" s="10">
        <v>20.0</v>
      </c>
      <c r="J117" s="11" t="s">
        <v>55</v>
      </c>
      <c r="K117" s="12" t="str">
        <f>IFERROR(__xludf.DUMMYFUNCTION("TEXTJOIN("""",TRUE, REGEXEXTRACT(J117, ""\d+""),""-"",LEFT(C117,3),""-"",LEFT(D117),""-"",LEFT(E117,2),LEFT(F117,2), ""-R"",REGEXEXTRACT(H117, ""\d+"") )"),"20-Rhi-L-1613-R2")</f>
        <v>20-Rhi-L-1613-R2</v>
      </c>
      <c r="L117" s="8" t="s">
        <v>23</v>
      </c>
      <c r="M117" s="13">
        <v>2.0</v>
      </c>
      <c r="N117" s="14">
        <f>(2.32-1.21)</f>
        <v>1.11</v>
      </c>
      <c r="O117" s="19">
        <f>SUM(N116:N121)</f>
        <v>6.82</v>
      </c>
      <c r="P117" s="20">
        <f t="shared" si="2"/>
        <v>4.346717655</v>
      </c>
    </row>
    <row r="118">
      <c r="A118" s="6"/>
      <c r="B118" s="21"/>
      <c r="C118" s="44" t="s">
        <v>16</v>
      </c>
      <c r="D118" s="23" t="s">
        <v>17</v>
      </c>
      <c r="E118" s="24" t="s">
        <v>18</v>
      </c>
      <c r="F118" s="25" t="s">
        <v>19</v>
      </c>
      <c r="G118" s="26" t="str">
        <f t="shared" si="1"/>
        <v>16O_13C</v>
      </c>
      <c r="H118" s="45" t="s">
        <v>54</v>
      </c>
      <c r="I118" s="10">
        <v>20.0</v>
      </c>
      <c r="J118" s="11" t="s">
        <v>55</v>
      </c>
      <c r="K118" s="12" t="str">
        <f>IFERROR(__xludf.DUMMYFUNCTION("TEXTJOIN("""",TRUE, REGEXEXTRACT(J118, ""\d+""),""-"",LEFT(C118,3),""-"",LEFT(D118),""-"",LEFT(E118,2),LEFT(F118,2), ""-R"",REGEXEXTRACT(H118, ""\d+"") )"),"20-Rhi-L-1613-R2")</f>
        <v>20-Rhi-L-1613-R2</v>
      </c>
      <c r="L118" s="8" t="s">
        <v>24</v>
      </c>
      <c r="M118" s="13">
        <v>3.0</v>
      </c>
      <c r="N118" s="14">
        <v>1.17</v>
      </c>
      <c r="O118" s="15">
        <f>SUM(N116:N121)</f>
        <v>6.82</v>
      </c>
      <c r="P118" s="16">
        <f t="shared" si="2"/>
        <v>4.346717655</v>
      </c>
    </row>
    <row r="119">
      <c r="A119" s="17"/>
      <c r="B119" s="18"/>
      <c r="C119" s="44" t="s">
        <v>16</v>
      </c>
      <c r="D119" s="23" t="s">
        <v>17</v>
      </c>
      <c r="E119" s="24" t="s">
        <v>18</v>
      </c>
      <c r="F119" s="25" t="s">
        <v>19</v>
      </c>
      <c r="G119" s="26" t="str">
        <f t="shared" si="1"/>
        <v>16O_13C</v>
      </c>
      <c r="H119" s="45" t="s">
        <v>54</v>
      </c>
      <c r="I119" s="10">
        <v>20.0</v>
      </c>
      <c r="J119" s="11" t="s">
        <v>55</v>
      </c>
      <c r="K119" s="12" t="str">
        <f>IFERROR(__xludf.DUMMYFUNCTION("TEXTJOIN("""",TRUE, REGEXEXTRACT(J119, ""\d+""),""-"",LEFT(C119,3),""-"",LEFT(D119),""-"",LEFT(E119,2),LEFT(F119,2), ""-R"",REGEXEXTRACT(H119, ""\d+"") )"),"20-Rhi-L-1613-R2")</f>
        <v>20-Rhi-L-1613-R2</v>
      </c>
      <c r="L119" s="8" t="s">
        <v>25</v>
      </c>
      <c r="M119" s="13">
        <v>4.0</v>
      </c>
      <c r="N119" s="14">
        <v>1.09</v>
      </c>
      <c r="O119" s="19">
        <f>SUM(N116:N121)</f>
        <v>6.82</v>
      </c>
      <c r="P119" s="20">
        <f t="shared" si="2"/>
        <v>4.346717655</v>
      </c>
    </row>
    <row r="120">
      <c r="A120" s="6"/>
      <c r="B120" s="21"/>
      <c r="C120" s="44" t="s">
        <v>16</v>
      </c>
      <c r="D120" s="23" t="s">
        <v>17</v>
      </c>
      <c r="E120" s="24" t="s">
        <v>18</v>
      </c>
      <c r="F120" s="25" t="s">
        <v>19</v>
      </c>
      <c r="G120" s="26" t="str">
        <f t="shared" si="1"/>
        <v>16O_13C</v>
      </c>
      <c r="H120" s="45" t="s">
        <v>54</v>
      </c>
      <c r="I120" s="10">
        <v>20.0</v>
      </c>
      <c r="J120" s="11" t="s">
        <v>55</v>
      </c>
      <c r="K120" s="12" t="str">
        <f>IFERROR(__xludf.DUMMYFUNCTION("TEXTJOIN("""",TRUE, REGEXEXTRACT(J120, ""\d+""),""-"",LEFT(C120,3),""-"",LEFT(D120),""-"",LEFT(E120,2),LEFT(F120,2), ""-R"",REGEXEXTRACT(H120, ""\d+"") )"),"20-Rhi-L-1613-R2")</f>
        <v>20-Rhi-L-1613-R2</v>
      </c>
      <c r="L120" s="8" t="s">
        <v>26</v>
      </c>
      <c r="M120" s="13">
        <v>5.0</v>
      </c>
      <c r="N120" s="14">
        <v>1.15</v>
      </c>
      <c r="O120" s="15">
        <f>SUM(N116:N121)</f>
        <v>6.82</v>
      </c>
      <c r="P120" s="16">
        <f t="shared" si="2"/>
        <v>4.346717655</v>
      </c>
    </row>
    <row r="121">
      <c r="A121" s="17"/>
      <c r="B121" s="18"/>
      <c r="C121" s="44" t="s">
        <v>16</v>
      </c>
      <c r="D121" s="23" t="s">
        <v>17</v>
      </c>
      <c r="E121" s="24" t="s">
        <v>18</v>
      </c>
      <c r="F121" s="25" t="s">
        <v>19</v>
      </c>
      <c r="G121" s="26" t="str">
        <f t="shared" si="1"/>
        <v>16O_13C</v>
      </c>
      <c r="H121" s="45" t="s">
        <v>54</v>
      </c>
      <c r="I121" s="10">
        <v>20.0</v>
      </c>
      <c r="J121" s="11" t="s">
        <v>55</v>
      </c>
      <c r="K121" s="12" t="str">
        <f>IFERROR(__xludf.DUMMYFUNCTION("TEXTJOIN("""",TRUE, REGEXEXTRACT(J121, ""\d+""),""-"",LEFT(C121,3),""-"",LEFT(D121),""-"",LEFT(E121,2),LEFT(F121,2), ""-R"",REGEXEXTRACT(H121, ""\d+"") )"),"20-Rhi-L-1613-R2")</f>
        <v>20-Rhi-L-1613-R2</v>
      </c>
      <c r="L121" s="8" t="s">
        <v>27</v>
      </c>
      <c r="M121" s="13">
        <v>6.0</v>
      </c>
      <c r="N121" s="14">
        <v>1.09</v>
      </c>
      <c r="O121" s="19">
        <f>SUM(N116:N121)</f>
        <v>6.82</v>
      </c>
      <c r="P121" s="20">
        <f t="shared" si="2"/>
        <v>4.346717655</v>
      </c>
    </row>
    <row r="122">
      <c r="A122" s="6"/>
      <c r="B122" s="21"/>
      <c r="C122" s="46" t="s">
        <v>16</v>
      </c>
      <c r="D122" s="28" t="s">
        <v>17</v>
      </c>
      <c r="E122" s="29" t="s">
        <v>18</v>
      </c>
      <c r="F122" s="29" t="s">
        <v>28</v>
      </c>
      <c r="G122" s="30" t="str">
        <f t="shared" si="1"/>
        <v>16O_12C</v>
      </c>
      <c r="H122" s="45" t="s">
        <v>54</v>
      </c>
      <c r="I122" s="10">
        <v>21.0</v>
      </c>
      <c r="J122" s="11" t="s">
        <v>56</v>
      </c>
      <c r="K122" s="12" t="str">
        <f>IFERROR(__xludf.DUMMYFUNCTION("TEXTJOIN("""",TRUE, REGEXEXTRACT(J122, ""\d+""),""-"",LEFT(C122,3),""-"",LEFT(D122),""-"",LEFT(E122,2),LEFT(F122,2), ""-R"",REGEXEXTRACT(H122, ""\d+"") )"),"21-Rhi-L-1612-R2")</f>
        <v>21-Rhi-L-1612-R2</v>
      </c>
      <c r="L122" s="8" t="s">
        <v>22</v>
      </c>
      <c r="M122" s="13">
        <v>1.0</v>
      </c>
      <c r="N122" s="14">
        <v>1.23</v>
      </c>
      <c r="O122" s="15">
        <f>SUM(N122:N127)</f>
        <v>6.98</v>
      </c>
      <c r="P122" s="16">
        <f t="shared" si="2"/>
        <v>4.448693435</v>
      </c>
    </row>
    <row r="123">
      <c r="A123" s="17"/>
      <c r="B123" s="18"/>
      <c r="C123" s="46" t="s">
        <v>16</v>
      </c>
      <c r="D123" s="28" t="s">
        <v>17</v>
      </c>
      <c r="E123" s="29" t="s">
        <v>18</v>
      </c>
      <c r="F123" s="29" t="s">
        <v>28</v>
      </c>
      <c r="G123" s="30" t="str">
        <f t="shared" si="1"/>
        <v>16O_12C</v>
      </c>
      <c r="H123" s="45" t="s">
        <v>54</v>
      </c>
      <c r="I123" s="10">
        <v>21.0</v>
      </c>
      <c r="J123" s="11" t="s">
        <v>56</v>
      </c>
      <c r="K123" s="12" t="str">
        <f>IFERROR(__xludf.DUMMYFUNCTION("TEXTJOIN("""",TRUE, REGEXEXTRACT(J123, ""\d+""),""-"",LEFT(C123,3),""-"",LEFT(D123),""-"",LEFT(E123,2),LEFT(F123,2), ""-R"",REGEXEXTRACT(H123, ""\d+"") )"),"21-Rhi-L-1612-R2")</f>
        <v>21-Rhi-L-1612-R2</v>
      </c>
      <c r="L123" s="8" t="s">
        <v>23</v>
      </c>
      <c r="M123" s="13">
        <v>2.0</v>
      </c>
      <c r="N123" s="14">
        <v>1.18</v>
      </c>
      <c r="O123" s="19">
        <f>SUM(N122:N127)</f>
        <v>6.98</v>
      </c>
      <c r="P123" s="20">
        <f t="shared" si="2"/>
        <v>4.448693435</v>
      </c>
    </row>
    <row r="124">
      <c r="A124" s="6"/>
      <c r="B124" s="21"/>
      <c r="C124" s="46" t="s">
        <v>16</v>
      </c>
      <c r="D124" s="28" t="s">
        <v>17</v>
      </c>
      <c r="E124" s="29" t="s">
        <v>18</v>
      </c>
      <c r="F124" s="29" t="s">
        <v>28</v>
      </c>
      <c r="G124" s="30" t="str">
        <f t="shared" si="1"/>
        <v>16O_12C</v>
      </c>
      <c r="H124" s="45" t="s">
        <v>54</v>
      </c>
      <c r="I124" s="10">
        <v>21.0</v>
      </c>
      <c r="J124" s="11" t="s">
        <v>56</v>
      </c>
      <c r="K124" s="12" t="str">
        <f>IFERROR(__xludf.DUMMYFUNCTION("TEXTJOIN("""",TRUE, REGEXEXTRACT(J124, ""\d+""),""-"",LEFT(C124,3),""-"",LEFT(D124),""-"",LEFT(E124,2),LEFT(F124,2), ""-R"",REGEXEXTRACT(H124, ""\d+"") )"),"21-Rhi-L-1612-R2")</f>
        <v>21-Rhi-L-1612-R2</v>
      </c>
      <c r="L124" s="8" t="s">
        <v>24</v>
      </c>
      <c r="M124" s="13">
        <v>3.0</v>
      </c>
      <c r="N124" s="14">
        <v>1.16</v>
      </c>
      <c r="O124" s="15">
        <f>SUM(N122:N127)</f>
        <v>6.98</v>
      </c>
      <c r="P124" s="16">
        <f t="shared" si="2"/>
        <v>4.448693435</v>
      </c>
    </row>
    <row r="125">
      <c r="A125" s="17"/>
      <c r="B125" s="18"/>
      <c r="C125" s="46" t="s">
        <v>16</v>
      </c>
      <c r="D125" s="28" t="s">
        <v>17</v>
      </c>
      <c r="E125" s="29" t="s">
        <v>18</v>
      </c>
      <c r="F125" s="29" t="s">
        <v>28</v>
      </c>
      <c r="G125" s="30" t="str">
        <f t="shared" si="1"/>
        <v>16O_12C</v>
      </c>
      <c r="H125" s="45" t="s">
        <v>54</v>
      </c>
      <c r="I125" s="10">
        <v>21.0</v>
      </c>
      <c r="J125" s="11" t="s">
        <v>56</v>
      </c>
      <c r="K125" s="12" t="str">
        <f>IFERROR(__xludf.DUMMYFUNCTION("TEXTJOIN("""",TRUE, REGEXEXTRACT(J125, ""\d+""),""-"",LEFT(C125,3),""-"",LEFT(D125),""-"",LEFT(E125,2),LEFT(F125,2), ""-R"",REGEXEXTRACT(H125, ""\d+"") )"),"21-Rhi-L-1612-R2")</f>
        <v>21-Rhi-L-1612-R2</v>
      </c>
      <c r="L125" s="8" t="s">
        <v>25</v>
      </c>
      <c r="M125" s="13">
        <v>4.0</v>
      </c>
      <c r="N125" s="14">
        <v>1.13</v>
      </c>
      <c r="O125" s="19">
        <f>SUM(N122:N127)</f>
        <v>6.98</v>
      </c>
      <c r="P125" s="20">
        <f t="shared" si="2"/>
        <v>4.448693435</v>
      </c>
    </row>
    <row r="126">
      <c r="A126" s="6"/>
      <c r="B126" s="21"/>
      <c r="C126" s="46" t="s">
        <v>16</v>
      </c>
      <c r="D126" s="28" t="s">
        <v>17</v>
      </c>
      <c r="E126" s="29" t="s">
        <v>18</v>
      </c>
      <c r="F126" s="29" t="s">
        <v>28</v>
      </c>
      <c r="G126" s="30" t="str">
        <f t="shared" si="1"/>
        <v>16O_12C</v>
      </c>
      <c r="H126" s="45" t="s">
        <v>54</v>
      </c>
      <c r="I126" s="10">
        <v>21.0</v>
      </c>
      <c r="J126" s="11" t="s">
        <v>56</v>
      </c>
      <c r="K126" s="12" t="str">
        <f>IFERROR(__xludf.DUMMYFUNCTION("TEXTJOIN("""",TRUE, REGEXEXTRACT(J126, ""\d+""),""-"",LEFT(C126,3),""-"",LEFT(D126),""-"",LEFT(E126,2),LEFT(F126,2), ""-R"",REGEXEXTRACT(H126, ""\d+"") )"),"21-Rhi-L-1612-R2")</f>
        <v>21-Rhi-L-1612-R2</v>
      </c>
      <c r="L126" s="8" t="s">
        <v>26</v>
      </c>
      <c r="M126" s="13">
        <v>5.0</v>
      </c>
      <c r="N126" s="14">
        <v>1.19</v>
      </c>
      <c r="O126" s="15">
        <f>SUM(N122:N127)</f>
        <v>6.98</v>
      </c>
      <c r="P126" s="16">
        <f t="shared" si="2"/>
        <v>4.448693435</v>
      </c>
    </row>
    <row r="127">
      <c r="A127" s="17"/>
      <c r="B127" s="18"/>
      <c r="C127" s="46" t="s">
        <v>16</v>
      </c>
      <c r="D127" s="28" t="s">
        <v>17</v>
      </c>
      <c r="E127" s="29" t="s">
        <v>18</v>
      </c>
      <c r="F127" s="29" t="s">
        <v>28</v>
      </c>
      <c r="G127" s="30" t="str">
        <f t="shared" si="1"/>
        <v>16O_12C</v>
      </c>
      <c r="H127" s="45" t="s">
        <v>54</v>
      </c>
      <c r="I127" s="10">
        <v>21.0</v>
      </c>
      <c r="J127" s="11" t="s">
        <v>56</v>
      </c>
      <c r="K127" s="12" t="str">
        <f>IFERROR(__xludf.DUMMYFUNCTION("TEXTJOIN("""",TRUE, REGEXEXTRACT(J127, ""\d+""),""-"",LEFT(C127,3),""-"",LEFT(D127),""-"",LEFT(E127,2),LEFT(F127,2), ""-R"",REGEXEXTRACT(H127, ""\d+"") )"),"21-Rhi-L-1612-R2")</f>
        <v>21-Rhi-L-1612-R2</v>
      </c>
      <c r="L127" s="8" t="s">
        <v>27</v>
      </c>
      <c r="M127" s="13">
        <v>6.0</v>
      </c>
      <c r="N127" s="14">
        <f>2.28-1.19</f>
        <v>1.09</v>
      </c>
      <c r="O127" s="19">
        <f>SUM(N122:N127)</f>
        <v>6.98</v>
      </c>
      <c r="P127" s="20">
        <f t="shared" si="2"/>
        <v>4.448693435</v>
      </c>
    </row>
    <row r="128">
      <c r="A128" s="6"/>
      <c r="B128" s="21"/>
      <c r="C128" s="44" t="s">
        <v>16</v>
      </c>
      <c r="D128" s="23" t="s">
        <v>17</v>
      </c>
      <c r="E128" s="25" t="s">
        <v>30</v>
      </c>
      <c r="F128" s="24" t="s">
        <v>28</v>
      </c>
      <c r="G128" s="26" t="str">
        <f t="shared" si="1"/>
        <v>18O_12C</v>
      </c>
      <c r="H128" s="45" t="s">
        <v>54</v>
      </c>
      <c r="I128" s="10">
        <v>22.0</v>
      </c>
      <c r="J128" s="11" t="s">
        <v>57</v>
      </c>
      <c r="K128" s="12" t="str">
        <f>IFERROR(__xludf.DUMMYFUNCTION("TEXTJOIN("""",TRUE, REGEXEXTRACT(J128, ""\d+""),""-"",LEFT(C128,3),""-"",LEFT(D128),""-"",LEFT(E128,2),LEFT(F128,2), ""-R"",REGEXEXTRACT(H128, ""\d+"") )"),"22-Rhi-L-1812-R2")</f>
        <v>22-Rhi-L-1812-R2</v>
      </c>
      <c r="L128" s="8" t="s">
        <v>22</v>
      </c>
      <c r="M128" s="13">
        <v>1.0</v>
      </c>
      <c r="N128" s="14">
        <v>1.22</v>
      </c>
      <c r="O128" s="15">
        <f>SUM(N128:N133)</f>
        <v>6.92</v>
      </c>
      <c r="P128" s="16">
        <f t="shared" si="2"/>
        <v>4.410452518</v>
      </c>
    </row>
    <row r="129">
      <c r="A129" s="17"/>
      <c r="B129" s="18"/>
      <c r="C129" s="44" t="s">
        <v>16</v>
      </c>
      <c r="D129" s="23" t="s">
        <v>17</v>
      </c>
      <c r="E129" s="25" t="s">
        <v>30</v>
      </c>
      <c r="F129" s="24" t="s">
        <v>28</v>
      </c>
      <c r="G129" s="26" t="str">
        <f t="shared" si="1"/>
        <v>18O_12C</v>
      </c>
      <c r="H129" s="45" t="s">
        <v>54</v>
      </c>
      <c r="I129" s="10">
        <v>22.0</v>
      </c>
      <c r="J129" s="11" t="s">
        <v>57</v>
      </c>
      <c r="K129" s="12" t="str">
        <f>IFERROR(__xludf.DUMMYFUNCTION("TEXTJOIN("""",TRUE, REGEXEXTRACT(J129, ""\d+""),""-"",LEFT(C129,3),""-"",LEFT(D129),""-"",LEFT(E129,2),LEFT(F129,2), ""-R"",REGEXEXTRACT(H129, ""\d+"") )"),"22-Rhi-L-1812-R2")</f>
        <v>22-Rhi-L-1812-R2</v>
      </c>
      <c r="L129" s="8" t="s">
        <v>23</v>
      </c>
      <c r="M129" s="13">
        <v>2.0</v>
      </c>
      <c r="N129" s="14">
        <v>1.16</v>
      </c>
      <c r="O129" s="19">
        <f>SUM(N128:N133)</f>
        <v>6.92</v>
      </c>
      <c r="P129" s="20">
        <f t="shared" si="2"/>
        <v>4.410452518</v>
      </c>
    </row>
    <row r="130">
      <c r="A130" s="6"/>
      <c r="B130" s="21"/>
      <c r="C130" s="44" t="s">
        <v>16</v>
      </c>
      <c r="D130" s="23" t="s">
        <v>17</v>
      </c>
      <c r="E130" s="25" t="s">
        <v>30</v>
      </c>
      <c r="F130" s="24" t="s">
        <v>28</v>
      </c>
      <c r="G130" s="26" t="str">
        <f t="shared" si="1"/>
        <v>18O_12C</v>
      </c>
      <c r="H130" s="45" t="s">
        <v>54</v>
      </c>
      <c r="I130" s="10">
        <v>22.0</v>
      </c>
      <c r="J130" s="11" t="s">
        <v>57</v>
      </c>
      <c r="K130" s="12" t="str">
        <f>IFERROR(__xludf.DUMMYFUNCTION("TEXTJOIN("""",TRUE, REGEXEXTRACT(J130, ""\d+""),""-"",LEFT(C130,3),""-"",LEFT(D130),""-"",LEFT(E130,2),LEFT(F130,2), ""-R"",REGEXEXTRACT(H130, ""\d+"") )"),"22-Rhi-L-1812-R2")</f>
        <v>22-Rhi-L-1812-R2</v>
      </c>
      <c r="L130" s="8" t="s">
        <v>24</v>
      </c>
      <c r="M130" s="13">
        <v>3.0</v>
      </c>
      <c r="N130" s="14">
        <v>1.15</v>
      </c>
      <c r="O130" s="15">
        <f>SUM(N128:N133)</f>
        <v>6.92</v>
      </c>
      <c r="P130" s="16">
        <f t="shared" si="2"/>
        <v>4.410452518</v>
      </c>
    </row>
    <row r="131">
      <c r="A131" s="17"/>
      <c r="B131" s="18"/>
      <c r="C131" s="44" t="s">
        <v>16</v>
      </c>
      <c r="D131" s="23" t="s">
        <v>17</v>
      </c>
      <c r="E131" s="25" t="s">
        <v>30</v>
      </c>
      <c r="F131" s="24" t="s">
        <v>28</v>
      </c>
      <c r="G131" s="26" t="str">
        <f t="shared" si="1"/>
        <v>18O_12C</v>
      </c>
      <c r="H131" s="45" t="s">
        <v>54</v>
      </c>
      <c r="I131" s="10">
        <v>22.0</v>
      </c>
      <c r="J131" s="11" t="s">
        <v>57</v>
      </c>
      <c r="K131" s="12" t="str">
        <f>IFERROR(__xludf.DUMMYFUNCTION("TEXTJOIN("""",TRUE, REGEXEXTRACT(J131, ""\d+""),""-"",LEFT(C131,3),""-"",LEFT(D131),""-"",LEFT(E131,2),LEFT(F131,2), ""-R"",REGEXEXTRACT(H131, ""\d+"") )"),"22-Rhi-L-1812-R2")</f>
        <v>22-Rhi-L-1812-R2</v>
      </c>
      <c r="L131" s="8" t="s">
        <v>25</v>
      </c>
      <c r="M131" s="13">
        <v>4.0</v>
      </c>
      <c r="N131" s="14">
        <v>1.13</v>
      </c>
      <c r="O131" s="19">
        <f>SUM(N128:N133)</f>
        <v>6.92</v>
      </c>
      <c r="P131" s="20">
        <f t="shared" si="2"/>
        <v>4.410452518</v>
      </c>
    </row>
    <row r="132">
      <c r="A132" s="6"/>
      <c r="B132" s="21"/>
      <c r="C132" s="44" t="s">
        <v>16</v>
      </c>
      <c r="D132" s="23" t="s">
        <v>17</v>
      </c>
      <c r="E132" s="25" t="s">
        <v>30</v>
      </c>
      <c r="F132" s="24" t="s">
        <v>28</v>
      </c>
      <c r="G132" s="26" t="str">
        <f t="shared" si="1"/>
        <v>18O_12C</v>
      </c>
      <c r="H132" s="45" t="s">
        <v>54</v>
      </c>
      <c r="I132" s="10">
        <v>22.0</v>
      </c>
      <c r="J132" s="11" t="s">
        <v>57</v>
      </c>
      <c r="K132" s="12" t="str">
        <f>IFERROR(__xludf.DUMMYFUNCTION("TEXTJOIN("""",TRUE, REGEXEXTRACT(J132, ""\d+""),""-"",LEFT(C132,3),""-"",LEFT(D132),""-"",LEFT(E132,2),LEFT(F132,2), ""-R"",REGEXEXTRACT(H132, ""\d+"") )"),"22-Rhi-L-1812-R2")</f>
        <v>22-Rhi-L-1812-R2</v>
      </c>
      <c r="L132" s="8" t="s">
        <v>26</v>
      </c>
      <c r="M132" s="13">
        <v>5.0</v>
      </c>
      <c r="N132" s="14">
        <v>1.18</v>
      </c>
      <c r="O132" s="15">
        <f>SUM(N128:N133)</f>
        <v>6.92</v>
      </c>
      <c r="P132" s="16">
        <f t="shared" si="2"/>
        <v>4.410452518</v>
      </c>
    </row>
    <row r="133">
      <c r="A133" s="17"/>
      <c r="B133" s="18"/>
      <c r="C133" s="44" t="s">
        <v>16</v>
      </c>
      <c r="D133" s="23" t="s">
        <v>17</v>
      </c>
      <c r="E133" s="25" t="s">
        <v>30</v>
      </c>
      <c r="F133" s="24" t="s">
        <v>28</v>
      </c>
      <c r="G133" s="26" t="str">
        <f t="shared" si="1"/>
        <v>18O_12C</v>
      </c>
      <c r="H133" s="45" t="s">
        <v>54</v>
      </c>
      <c r="I133" s="10">
        <v>22.0</v>
      </c>
      <c r="J133" s="11" t="s">
        <v>57</v>
      </c>
      <c r="K133" s="12" t="str">
        <f>IFERROR(__xludf.DUMMYFUNCTION("TEXTJOIN("""",TRUE, REGEXEXTRACT(J133, ""\d+""),""-"",LEFT(C133,3),""-"",LEFT(D133),""-"",LEFT(E133,2),LEFT(F133,2), ""-R"",REGEXEXTRACT(H133, ""\d+"") )"),"22-Rhi-L-1812-R2")</f>
        <v>22-Rhi-L-1812-R2</v>
      </c>
      <c r="L133" s="8" t="s">
        <v>27</v>
      </c>
      <c r="M133" s="13">
        <v>6.0</v>
      </c>
      <c r="N133" s="14">
        <v>1.08</v>
      </c>
      <c r="O133" s="19">
        <f>SUM(N128:N133)</f>
        <v>6.92</v>
      </c>
      <c r="P133" s="20">
        <f t="shared" si="2"/>
        <v>4.410452518</v>
      </c>
    </row>
    <row r="134">
      <c r="A134" s="6"/>
      <c r="B134" s="21"/>
      <c r="C134" s="46" t="s">
        <v>16</v>
      </c>
      <c r="D134" s="32" t="s">
        <v>32</v>
      </c>
      <c r="E134" s="29" t="s">
        <v>18</v>
      </c>
      <c r="F134" s="33" t="s">
        <v>19</v>
      </c>
      <c r="G134" s="30" t="str">
        <f t="shared" si="1"/>
        <v>16O_13C</v>
      </c>
      <c r="H134" s="45" t="s">
        <v>54</v>
      </c>
      <c r="I134" s="10">
        <v>23.0</v>
      </c>
      <c r="J134" s="11" t="s">
        <v>58</v>
      </c>
      <c r="K134" s="12" t="str">
        <f>IFERROR(__xludf.DUMMYFUNCTION("TEXTJOIN("""",TRUE, REGEXEXTRACT(J134, ""\d+""),""-"",LEFT(C134,3),""-"",LEFT(D134),""-"",LEFT(E134,2),LEFT(F134,2), ""-R"",REGEXEXTRACT(H134, ""\d+"") )"),"23-Rhi-E-1613-R2")</f>
        <v>23-Rhi-E-1613-R2</v>
      </c>
      <c r="L134" s="8" t="s">
        <v>22</v>
      </c>
      <c r="M134" s="13">
        <v>1.0</v>
      </c>
      <c r="N134" s="14">
        <v>1.29</v>
      </c>
      <c r="O134" s="15">
        <f>SUM(N134:N139)</f>
        <v>7</v>
      </c>
      <c r="P134" s="16">
        <f t="shared" si="2"/>
        <v>4.461440408</v>
      </c>
    </row>
    <row r="135">
      <c r="A135" s="17"/>
      <c r="B135" s="18"/>
      <c r="C135" s="46" t="s">
        <v>16</v>
      </c>
      <c r="D135" s="32" t="s">
        <v>32</v>
      </c>
      <c r="E135" s="29" t="s">
        <v>18</v>
      </c>
      <c r="F135" s="33" t="s">
        <v>19</v>
      </c>
      <c r="G135" s="30" t="str">
        <f t="shared" si="1"/>
        <v>16O_13C</v>
      </c>
      <c r="H135" s="45" t="s">
        <v>54</v>
      </c>
      <c r="I135" s="10">
        <v>23.0</v>
      </c>
      <c r="J135" s="11" t="s">
        <v>58</v>
      </c>
      <c r="K135" s="12" t="str">
        <f>IFERROR(__xludf.DUMMYFUNCTION("TEXTJOIN("""",TRUE, REGEXEXTRACT(J135, ""\d+""),""-"",LEFT(C135,3),""-"",LEFT(D135),""-"",LEFT(E135,2),LEFT(F135,2), ""-R"",REGEXEXTRACT(H135, ""\d+"") )"),"23-Rhi-E-1613-R2")</f>
        <v>23-Rhi-E-1613-R2</v>
      </c>
      <c r="L135" s="8" t="s">
        <v>23</v>
      </c>
      <c r="M135" s="13">
        <v>2.0</v>
      </c>
      <c r="N135" s="14">
        <v>1.16</v>
      </c>
      <c r="O135" s="19">
        <f>SUM(N134:N139)</f>
        <v>7</v>
      </c>
      <c r="P135" s="20">
        <f t="shared" si="2"/>
        <v>4.461440408</v>
      </c>
    </row>
    <row r="136">
      <c r="A136" s="6"/>
      <c r="B136" s="21"/>
      <c r="C136" s="46" t="s">
        <v>16</v>
      </c>
      <c r="D136" s="32" t="s">
        <v>32</v>
      </c>
      <c r="E136" s="29" t="s">
        <v>18</v>
      </c>
      <c r="F136" s="33" t="s">
        <v>19</v>
      </c>
      <c r="G136" s="30" t="str">
        <f t="shared" si="1"/>
        <v>16O_13C</v>
      </c>
      <c r="H136" s="45" t="s">
        <v>54</v>
      </c>
      <c r="I136" s="10">
        <v>23.0</v>
      </c>
      <c r="J136" s="11" t="s">
        <v>58</v>
      </c>
      <c r="K136" s="12" t="str">
        <f>IFERROR(__xludf.DUMMYFUNCTION("TEXTJOIN("""",TRUE, REGEXEXTRACT(J136, ""\d+""),""-"",LEFT(C136,3),""-"",LEFT(D136),""-"",LEFT(E136,2),LEFT(F136,2), ""-R"",REGEXEXTRACT(H136, ""\d+"") )"),"23-Rhi-E-1613-R2")</f>
        <v>23-Rhi-E-1613-R2</v>
      </c>
      <c r="L136" s="8" t="s">
        <v>24</v>
      </c>
      <c r="M136" s="13">
        <v>3.0</v>
      </c>
      <c r="N136" s="14">
        <v>1.2</v>
      </c>
      <c r="O136" s="15">
        <f>SUM(N134:N139)</f>
        <v>7</v>
      </c>
      <c r="P136" s="16">
        <f t="shared" si="2"/>
        <v>4.461440408</v>
      </c>
    </row>
    <row r="137">
      <c r="A137" s="17"/>
      <c r="B137" s="18"/>
      <c r="C137" s="46" t="s">
        <v>16</v>
      </c>
      <c r="D137" s="32" t="s">
        <v>32</v>
      </c>
      <c r="E137" s="29" t="s">
        <v>18</v>
      </c>
      <c r="F137" s="33" t="s">
        <v>19</v>
      </c>
      <c r="G137" s="30" t="str">
        <f t="shared" si="1"/>
        <v>16O_13C</v>
      </c>
      <c r="H137" s="45" t="s">
        <v>54</v>
      </c>
      <c r="I137" s="10">
        <v>23.0</v>
      </c>
      <c r="J137" s="11" t="s">
        <v>58</v>
      </c>
      <c r="K137" s="12" t="str">
        <f>IFERROR(__xludf.DUMMYFUNCTION("TEXTJOIN("""",TRUE, REGEXEXTRACT(J137, ""\d+""),""-"",LEFT(C137,3),""-"",LEFT(D137),""-"",LEFT(E137,2),LEFT(F137,2), ""-R"",REGEXEXTRACT(H137, ""\d+"") )"),"23-Rhi-E-1613-R2")</f>
        <v>23-Rhi-E-1613-R2</v>
      </c>
      <c r="L137" s="8" t="s">
        <v>25</v>
      </c>
      <c r="M137" s="13">
        <v>4.0</v>
      </c>
      <c r="N137" s="14">
        <v>1.1</v>
      </c>
      <c r="O137" s="19">
        <f>SUM(N134:N139)</f>
        <v>7</v>
      </c>
      <c r="P137" s="20">
        <f t="shared" si="2"/>
        <v>4.461440408</v>
      </c>
    </row>
    <row r="138">
      <c r="A138" s="6"/>
      <c r="B138" s="21"/>
      <c r="C138" s="46" t="s">
        <v>16</v>
      </c>
      <c r="D138" s="32" t="s">
        <v>32</v>
      </c>
      <c r="E138" s="29" t="s">
        <v>18</v>
      </c>
      <c r="F138" s="33" t="s">
        <v>19</v>
      </c>
      <c r="G138" s="30" t="str">
        <f t="shared" si="1"/>
        <v>16O_13C</v>
      </c>
      <c r="H138" s="45" t="s">
        <v>54</v>
      </c>
      <c r="I138" s="10">
        <v>23.0</v>
      </c>
      <c r="J138" s="11" t="s">
        <v>58</v>
      </c>
      <c r="K138" s="12" t="str">
        <f>IFERROR(__xludf.DUMMYFUNCTION("TEXTJOIN("""",TRUE, REGEXEXTRACT(J138, ""\d+""),""-"",LEFT(C138,3),""-"",LEFT(D138),""-"",LEFT(E138,2),LEFT(F138,2), ""-R"",REGEXEXTRACT(H138, ""\d+"") )"),"23-Rhi-E-1613-R2")</f>
        <v>23-Rhi-E-1613-R2</v>
      </c>
      <c r="L138" s="8" t="s">
        <v>26</v>
      </c>
      <c r="M138" s="13">
        <v>5.0</v>
      </c>
      <c r="N138" s="14">
        <v>1.07</v>
      </c>
      <c r="O138" s="15">
        <f>SUM(N134:N139)</f>
        <v>7</v>
      </c>
      <c r="P138" s="16">
        <f t="shared" si="2"/>
        <v>4.461440408</v>
      </c>
    </row>
    <row r="139">
      <c r="A139" s="17"/>
      <c r="B139" s="18"/>
      <c r="C139" s="46" t="s">
        <v>16</v>
      </c>
      <c r="D139" s="32" t="s">
        <v>32</v>
      </c>
      <c r="E139" s="29" t="s">
        <v>18</v>
      </c>
      <c r="F139" s="33" t="s">
        <v>19</v>
      </c>
      <c r="G139" s="30" t="str">
        <f t="shared" si="1"/>
        <v>16O_13C</v>
      </c>
      <c r="H139" s="45" t="s">
        <v>54</v>
      </c>
      <c r="I139" s="10">
        <v>23.0</v>
      </c>
      <c r="J139" s="11" t="s">
        <v>58</v>
      </c>
      <c r="K139" s="12" t="str">
        <f>IFERROR(__xludf.DUMMYFUNCTION("TEXTJOIN("""",TRUE, REGEXEXTRACT(J139, ""\d+""),""-"",LEFT(C139,3),""-"",LEFT(D139),""-"",LEFT(E139,2),LEFT(F139,2), ""-R"",REGEXEXTRACT(H139, ""\d+"") )"),"23-Rhi-E-1613-R2")</f>
        <v>23-Rhi-E-1613-R2</v>
      </c>
      <c r="L139" s="8" t="s">
        <v>27</v>
      </c>
      <c r="M139" s="13">
        <v>6.0</v>
      </c>
      <c r="N139" s="14">
        <v>1.18</v>
      </c>
      <c r="O139" s="19">
        <f>SUM(N134:N139)</f>
        <v>7</v>
      </c>
      <c r="P139" s="20">
        <f t="shared" si="2"/>
        <v>4.461440408</v>
      </c>
    </row>
    <row r="140">
      <c r="A140" s="6"/>
      <c r="B140" s="21"/>
      <c r="C140" s="46" t="s">
        <v>16</v>
      </c>
      <c r="D140" s="35" t="s">
        <v>32</v>
      </c>
      <c r="E140" s="24" t="s">
        <v>18</v>
      </c>
      <c r="F140" s="24" t="s">
        <v>28</v>
      </c>
      <c r="G140" s="26" t="str">
        <f t="shared" si="1"/>
        <v>16O_12C</v>
      </c>
      <c r="H140" s="45" t="s">
        <v>54</v>
      </c>
      <c r="I140" s="10">
        <v>24.0</v>
      </c>
      <c r="J140" s="11" t="s">
        <v>59</v>
      </c>
      <c r="K140" s="12" t="str">
        <f>IFERROR(__xludf.DUMMYFUNCTION("TEXTJOIN("""",TRUE, REGEXEXTRACT(J140, ""\d+""),""-"",LEFT(C140,3),""-"",LEFT(D140),""-"",LEFT(E140,2),LEFT(F140,2), ""-R"",REGEXEXTRACT(H140, ""\d+"") )"),"24-Rhi-E-1612-R2")</f>
        <v>24-Rhi-E-1612-R2</v>
      </c>
      <c r="L140" s="8" t="s">
        <v>22</v>
      </c>
      <c r="M140" s="13">
        <v>1.0</v>
      </c>
      <c r="N140" s="14">
        <v>1.18</v>
      </c>
      <c r="O140" s="15">
        <f>SUM(N140:N145)</f>
        <v>6.84</v>
      </c>
      <c r="P140" s="16">
        <f t="shared" si="2"/>
        <v>4.359464627</v>
      </c>
    </row>
    <row r="141">
      <c r="A141" s="17"/>
      <c r="B141" s="18"/>
      <c r="C141" s="46" t="s">
        <v>16</v>
      </c>
      <c r="D141" s="35" t="s">
        <v>32</v>
      </c>
      <c r="E141" s="24" t="s">
        <v>18</v>
      </c>
      <c r="F141" s="24" t="s">
        <v>28</v>
      </c>
      <c r="G141" s="26" t="str">
        <f t="shared" si="1"/>
        <v>16O_12C</v>
      </c>
      <c r="H141" s="45" t="s">
        <v>54</v>
      </c>
      <c r="I141" s="10">
        <v>24.0</v>
      </c>
      <c r="J141" s="11" t="s">
        <v>59</v>
      </c>
      <c r="K141" s="12" t="str">
        <f>IFERROR(__xludf.DUMMYFUNCTION("TEXTJOIN("""",TRUE, REGEXEXTRACT(J141, ""\d+""),""-"",LEFT(C141,3),""-"",LEFT(D141),""-"",LEFT(E141,2),LEFT(F141,2), ""-R"",REGEXEXTRACT(H141, ""\d+"") )"),"24-Rhi-E-1612-R2")</f>
        <v>24-Rhi-E-1612-R2</v>
      </c>
      <c r="L141" s="8" t="s">
        <v>23</v>
      </c>
      <c r="M141" s="13">
        <v>2.0</v>
      </c>
      <c r="N141" s="14">
        <v>1.16</v>
      </c>
      <c r="O141" s="19">
        <f>SUM(N140:N145)</f>
        <v>6.84</v>
      </c>
      <c r="P141" s="20">
        <f t="shared" si="2"/>
        <v>4.359464627</v>
      </c>
    </row>
    <row r="142">
      <c r="A142" s="6"/>
      <c r="B142" s="21"/>
      <c r="C142" s="46" t="s">
        <v>16</v>
      </c>
      <c r="D142" s="35" t="s">
        <v>32</v>
      </c>
      <c r="E142" s="24" t="s">
        <v>18</v>
      </c>
      <c r="F142" s="24" t="s">
        <v>28</v>
      </c>
      <c r="G142" s="26" t="str">
        <f t="shared" si="1"/>
        <v>16O_12C</v>
      </c>
      <c r="H142" s="45" t="s">
        <v>54</v>
      </c>
      <c r="I142" s="10">
        <v>24.0</v>
      </c>
      <c r="J142" s="11" t="s">
        <v>59</v>
      </c>
      <c r="K142" s="12" t="str">
        <f>IFERROR(__xludf.DUMMYFUNCTION("TEXTJOIN("""",TRUE, REGEXEXTRACT(J142, ""\d+""),""-"",LEFT(C142,3),""-"",LEFT(D142),""-"",LEFT(E142,2),LEFT(F142,2), ""-R"",REGEXEXTRACT(H142, ""\d+"") )"),"24-Rhi-E-1612-R2")</f>
        <v>24-Rhi-E-1612-R2</v>
      </c>
      <c r="L142" s="8" t="s">
        <v>24</v>
      </c>
      <c r="M142" s="13">
        <v>3.0</v>
      </c>
      <c r="N142" s="14">
        <v>1.17</v>
      </c>
      <c r="O142" s="15">
        <f>SUM(N140:N145)</f>
        <v>6.84</v>
      </c>
      <c r="P142" s="16">
        <f t="shared" si="2"/>
        <v>4.359464627</v>
      </c>
    </row>
    <row r="143">
      <c r="A143" s="17"/>
      <c r="B143" s="18"/>
      <c r="C143" s="46" t="s">
        <v>16</v>
      </c>
      <c r="D143" s="35" t="s">
        <v>32</v>
      </c>
      <c r="E143" s="24" t="s">
        <v>18</v>
      </c>
      <c r="F143" s="24" t="s">
        <v>28</v>
      </c>
      <c r="G143" s="26" t="str">
        <f t="shared" si="1"/>
        <v>16O_12C</v>
      </c>
      <c r="H143" s="45" t="s">
        <v>54</v>
      </c>
      <c r="I143" s="10">
        <v>24.0</v>
      </c>
      <c r="J143" s="11" t="s">
        <v>59</v>
      </c>
      <c r="K143" s="12" t="str">
        <f>IFERROR(__xludf.DUMMYFUNCTION("TEXTJOIN("""",TRUE, REGEXEXTRACT(J143, ""\d+""),""-"",LEFT(C143,3),""-"",LEFT(D143),""-"",LEFT(E143,2),LEFT(F143,2), ""-R"",REGEXEXTRACT(H143, ""\d+"") )"),"24-Rhi-E-1612-R2")</f>
        <v>24-Rhi-E-1612-R2</v>
      </c>
      <c r="L143" s="8" t="s">
        <v>25</v>
      </c>
      <c r="M143" s="13">
        <v>4.0</v>
      </c>
      <c r="N143" s="14">
        <v>1.14</v>
      </c>
      <c r="O143" s="19">
        <f>SUM(N140:N145)</f>
        <v>6.84</v>
      </c>
      <c r="P143" s="20">
        <f t="shared" si="2"/>
        <v>4.359464627</v>
      </c>
    </row>
    <row r="144">
      <c r="A144" s="6"/>
      <c r="B144" s="21"/>
      <c r="C144" s="46" t="s">
        <v>16</v>
      </c>
      <c r="D144" s="35" t="s">
        <v>32</v>
      </c>
      <c r="E144" s="24" t="s">
        <v>18</v>
      </c>
      <c r="F144" s="24" t="s">
        <v>28</v>
      </c>
      <c r="G144" s="26" t="str">
        <f t="shared" si="1"/>
        <v>16O_12C</v>
      </c>
      <c r="H144" s="45" t="s">
        <v>54</v>
      </c>
      <c r="I144" s="10">
        <v>24.0</v>
      </c>
      <c r="J144" s="11" t="s">
        <v>59</v>
      </c>
      <c r="K144" s="12" t="str">
        <f>IFERROR(__xludf.DUMMYFUNCTION("TEXTJOIN("""",TRUE, REGEXEXTRACT(J144, ""\d+""),""-"",LEFT(C144,3),""-"",LEFT(D144),""-"",LEFT(E144,2),LEFT(F144,2), ""-R"",REGEXEXTRACT(H144, ""\d+"") )"),"24-Rhi-E-1612-R2")</f>
        <v>24-Rhi-E-1612-R2</v>
      </c>
      <c r="L144" s="8" t="s">
        <v>26</v>
      </c>
      <c r="M144" s="13">
        <v>5.0</v>
      </c>
      <c r="N144" s="14">
        <v>1.1</v>
      </c>
      <c r="O144" s="15">
        <f>SUM(N140:N145)</f>
        <v>6.84</v>
      </c>
      <c r="P144" s="16">
        <f t="shared" si="2"/>
        <v>4.359464627</v>
      </c>
    </row>
    <row r="145">
      <c r="A145" s="17"/>
      <c r="B145" s="18"/>
      <c r="C145" s="46" t="s">
        <v>16</v>
      </c>
      <c r="D145" s="35" t="s">
        <v>32</v>
      </c>
      <c r="E145" s="24" t="s">
        <v>18</v>
      </c>
      <c r="F145" s="24" t="s">
        <v>28</v>
      </c>
      <c r="G145" s="26" t="str">
        <f t="shared" si="1"/>
        <v>16O_12C</v>
      </c>
      <c r="H145" s="45" t="s">
        <v>54</v>
      </c>
      <c r="I145" s="10">
        <v>24.0</v>
      </c>
      <c r="J145" s="11" t="s">
        <v>59</v>
      </c>
      <c r="K145" s="12" t="str">
        <f>IFERROR(__xludf.DUMMYFUNCTION("TEXTJOIN("""",TRUE, REGEXEXTRACT(J145, ""\d+""),""-"",LEFT(C145,3),""-"",LEFT(D145),""-"",LEFT(E145,2),LEFT(F145,2), ""-R"",REGEXEXTRACT(H145, ""\d+"") )"),"24-Rhi-E-1612-R2")</f>
        <v>24-Rhi-E-1612-R2</v>
      </c>
      <c r="L145" s="8" t="s">
        <v>27</v>
      </c>
      <c r="M145" s="13">
        <v>6.0</v>
      </c>
      <c r="N145" s="14">
        <v>1.09</v>
      </c>
      <c r="O145" s="19">
        <f>SUM(N140:N145)</f>
        <v>6.84</v>
      </c>
      <c r="P145" s="20">
        <f t="shared" si="2"/>
        <v>4.359464627</v>
      </c>
    </row>
    <row r="146">
      <c r="A146" s="6"/>
      <c r="B146" s="21"/>
      <c r="C146" s="46" t="s">
        <v>16</v>
      </c>
      <c r="D146" s="32" t="s">
        <v>32</v>
      </c>
      <c r="E146" s="33" t="s">
        <v>30</v>
      </c>
      <c r="F146" s="29" t="s">
        <v>28</v>
      </c>
      <c r="G146" s="30" t="str">
        <f t="shared" si="1"/>
        <v>18O_12C</v>
      </c>
      <c r="H146" s="45" t="s">
        <v>54</v>
      </c>
      <c r="I146" s="10">
        <v>25.0</v>
      </c>
      <c r="J146" s="11" t="s">
        <v>60</v>
      </c>
      <c r="K146" s="12" t="str">
        <f>IFERROR(__xludf.DUMMYFUNCTION("TEXTJOIN("""",TRUE, REGEXEXTRACT(J146, ""\d+""),""-"",LEFT(C146,3),""-"",LEFT(D146),""-"",LEFT(E146,2),LEFT(F146,2), ""-R"",REGEXEXTRACT(H146, ""\d+"") )"),"25-Rhi-E-1812-R2")</f>
        <v>25-Rhi-E-1812-R2</v>
      </c>
      <c r="L146" s="8" t="s">
        <v>22</v>
      </c>
      <c r="M146" s="13">
        <v>1.0</v>
      </c>
      <c r="N146" s="14">
        <v>1.11</v>
      </c>
      <c r="O146" s="15">
        <f>SUM(N146:N151)</f>
        <v>6.84</v>
      </c>
      <c r="P146" s="16">
        <f t="shared" si="2"/>
        <v>4.359464627</v>
      </c>
    </row>
    <row r="147">
      <c r="A147" s="17"/>
      <c r="B147" s="18"/>
      <c r="C147" s="46" t="s">
        <v>16</v>
      </c>
      <c r="D147" s="32" t="s">
        <v>32</v>
      </c>
      <c r="E147" s="33" t="s">
        <v>30</v>
      </c>
      <c r="F147" s="29" t="s">
        <v>28</v>
      </c>
      <c r="G147" s="30" t="str">
        <f t="shared" si="1"/>
        <v>18O_12C</v>
      </c>
      <c r="H147" s="45" t="s">
        <v>54</v>
      </c>
      <c r="I147" s="10">
        <v>25.0</v>
      </c>
      <c r="J147" s="11" t="s">
        <v>60</v>
      </c>
      <c r="K147" s="12" t="str">
        <f>IFERROR(__xludf.DUMMYFUNCTION("TEXTJOIN("""",TRUE, REGEXEXTRACT(J147, ""\d+""),""-"",LEFT(C147,3),""-"",LEFT(D147),""-"",LEFT(E147,2),LEFT(F147,2), ""-R"",REGEXEXTRACT(H147, ""\d+"") )"),"25-Rhi-E-1812-R2")</f>
        <v>25-Rhi-E-1812-R2</v>
      </c>
      <c r="L147" s="8" t="s">
        <v>23</v>
      </c>
      <c r="M147" s="13">
        <v>2.0</v>
      </c>
      <c r="N147" s="14">
        <v>1.16</v>
      </c>
      <c r="O147" s="19">
        <f>SUM(N146:N151)</f>
        <v>6.84</v>
      </c>
      <c r="P147" s="20">
        <f t="shared" si="2"/>
        <v>4.359464627</v>
      </c>
    </row>
    <row r="148">
      <c r="A148" s="6"/>
      <c r="B148" s="21"/>
      <c r="C148" s="46" t="s">
        <v>16</v>
      </c>
      <c r="D148" s="32" t="s">
        <v>32</v>
      </c>
      <c r="E148" s="33" t="s">
        <v>30</v>
      </c>
      <c r="F148" s="29" t="s">
        <v>28</v>
      </c>
      <c r="G148" s="30" t="str">
        <f t="shared" si="1"/>
        <v>18O_12C</v>
      </c>
      <c r="H148" s="45" t="s">
        <v>54</v>
      </c>
      <c r="I148" s="10">
        <v>25.0</v>
      </c>
      <c r="J148" s="11" t="s">
        <v>60</v>
      </c>
      <c r="K148" s="12" t="str">
        <f>IFERROR(__xludf.DUMMYFUNCTION("TEXTJOIN("""",TRUE, REGEXEXTRACT(J148, ""\d+""),""-"",LEFT(C148,3),""-"",LEFT(D148),""-"",LEFT(E148,2),LEFT(F148,2), ""-R"",REGEXEXTRACT(H148, ""\d+"") )"),"25-Rhi-E-1812-R2")</f>
        <v>25-Rhi-E-1812-R2</v>
      </c>
      <c r="L148" s="8" t="s">
        <v>24</v>
      </c>
      <c r="M148" s="13">
        <v>3.0</v>
      </c>
      <c r="N148" s="14">
        <v>1.14</v>
      </c>
      <c r="O148" s="15">
        <f>SUM(N146:N151)</f>
        <v>6.84</v>
      </c>
      <c r="P148" s="16">
        <f t="shared" si="2"/>
        <v>4.359464627</v>
      </c>
    </row>
    <row r="149">
      <c r="A149" s="17"/>
      <c r="B149" s="18"/>
      <c r="C149" s="46" t="s">
        <v>16</v>
      </c>
      <c r="D149" s="32" t="s">
        <v>32</v>
      </c>
      <c r="E149" s="33" t="s">
        <v>30</v>
      </c>
      <c r="F149" s="29" t="s">
        <v>28</v>
      </c>
      <c r="G149" s="30" t="str">
        <f t="shared" si="1"/>
        <v>18O_12C</v>
      </c>
      <c r="H149" s="45" t="s">
        <v>54</v>
      </c>
      <c r="I149" s="10">
        <v>25.0</v>
      </c>
      <c r="J149" s="11" t="s">
        <v>60</v>
      </c>
      <c r="K149" s="12" t="str">
        <f>IFERROR(__xludf.DUMMYFUNCTION("TEXTJOIN("""",TRUE, REGEXEXTRACT(J149, ""\d+""),""-"",LEFT(C149,3),""-"",LEFT(D149),""-"",LEFT(E149,2),LEFT(F149,2), ""-R"",REGEXEXTRACT(H149, ""\d+"") )"),"25-Rhi-E-1812-R2")</f>
        <v>25-Rhi-E-1812-R2</v>
      </c>
      <c r="L149" s="8" t="s">
        <v>25</v>
      </c>
      <c r="M149" s="13">
        <v>4.0</v>
      </c>
      <c r="N149" s="14">
        <v>1.16</v>
      </c>
      <c r="O149" s="19">
        <f>SUM(N146:N151)</f>
        <v>6.84</v>
      </c>
      <c r="P149" s="20">
        <f t="shared" si="2"/>
        <v>4.359464627</v>
      </c>
    </row>
    <row r="150">
      <c r="A150" s="6"/>
      <c r="B150" s="21"/>
      <c r="C150" s="46" t="s">
        <v>16</v>
      </c>
      <c r="D150" s="32" t="s">
        <v>32</v>
      </c>
      <c r="E150" s="33" t="s">
        <v>30</v>
      </c>
      <c r="F150" s="29" t="s">
        <v>28</v>
      </c>
      <c r="G150" s="30" t="str">
        <f t="shared" si="1"/>
        <v>18O_12C</v>
      </c>
      <c r="H150" s="45" t="s">
        <v>54</v>
      </c>
      <c r="I150" s="10">
        <v>25.0</v>
      </c>
      <c r="J150" s="11" t="s">
        <v>60</v>
      </c>
      <c r="K150" s="12" t="str">
        <f>IFERROR(__xludf.DUMMYFUNCTION("TEXTJOIN("""",TRUE, REGEXEXTRACT(J150, ""\d+""),""-"",LEFT(C150,3),""-"",LEFT(D150),""-"",LEFT(E150,2),LEFT(F150,2), ""-R"",REGEXEXTRACT(H150, ""\d+"") )"),"25-Rhi-E-1812-R2")</f>
        <v>25-Rhi-E-1812-R2</v>
      </c>
      <c r="L150" s="8" t="s">
        <v>26</v>
      </c>
      <c r="M150" s="13">
        <v>5.0</v>
      </c>
      <c r="N150" s="14">
        <v>1.1</v>
      </c>
      <c r="O150" s="15">
        <f>SUM(N146:N151)</f>
        <v>6.84</v>
      </c>
      <c r="P150" s="16">
        <f t="shared" si="2"/>
        <v>4.359464627</v>
      </c>
    </row>
    <row r="151">
      <c r="A151" s="17"/>
      <c r="B151" s="18"/>
      <c r="C151" s="46" t="s">
        <v>16</v>
      </c>
      <c r="D151" s="32" t="s">
        <v>32</v>
      </c>
      <c r="E151" s="33" t="s">
        <v>30</v>
      </c>
      <c r="F151" s="29" t="s">
        <v>28</v>
      </c>
      <c r="G151" s="30" t="str">
        <f t="shared" si="1"/>
        <v>18O_12C</v>
      </c>
      <c r="H151" s="45" t="s">
        <v>54</v>
      </c>
      <c r="I151" s="10">
        <v>25.0</v>
      </c>
      <c r="J151" s="11" t="s">
        <v>60</v>
      </c>
      <c r="K151" s="12" t="str">
        <f>IFERROR(__xludf.DUMMYFUNCTION("TEXTJOIN("""",TRUE, REGEXEXTRACT(J151, ""\d+""),""-"",LEFT(C151,3),""-"",LEFT(D151),""-"",LEFT(E151,2),LEFT(F151,2), ""-R"",REGEXEXTRACT(H151, ""\d+"") )"),"25-Rhi-E-1812-R2")</f>
        <v>25-Rhi-E-1812-R2</v>
      </c>
      <c r="L151" s="8" t="s">
        <v>27</v>
      </c>
      <c r="M151" s="13">
        <v>6.0</v>
      </c>
      <c r="N151" s="14">
        <v>1.17</v>
      </c>
      <c r="O151" s="19">
        <f>SUM(N146:N151)</f>
        <v>6.84</v>
      </c>
      <c r="P151" s="20">
        <f t="shared" si="2"/>
        <v>4.359464627</v>
      </c>
    </row>
    <row r="152">
      <c r="A152" s="6"/>
      <c r="B152" s="21"/>
      <c r="C152" s="46" t="s">
        <v>16</v>
      </c>
      <c r="D152" s="36" t="s">
        <v>36</v>
      </c>
      <c r="E152" s="24" t="s">
        <v>18</v>
      </c>
      <c r="F152" s="37" t="s">
        <v>37</v>
      </c>
      <c r="G152" s="26" t="str">
        <f t="shared" si="1"/>
        <v>16O_No C</v>
      </c>
      <c r="H152" s="45" t="s">
        <v>54</v>
      </c>
      <c r="I152" s="10">
        <v>26.0</v>
      </c>
      <c r="J152" s="11" t="s">
        <v>61</v>
      </c>
      <c r="K152" s="12" t="str">
        <f>IFERROR(__xludf.DUMMYFUNCTION("TEXTJOIN("""",TRUE, REGEXEXTRACT(J152, ""\d+""),""-"",LEFT(C152,3),""-"",LEFT(D152),""-"",LEFT(E152,2),LEFT(F152,2), ""-R"",REGEXEXTRACT(H152, ""\d+"") )"),"26-Rhi-N-16No-R2")</f>
        <v>26-Rhi-N-16No-R2</v>
      </c>
      <c r="L152" s="8" t="s">
        <v>22</v>
      </c>
      <c r="M152" s="13">
        <v>1.0</v>
      </c>
      <c r="N152" s="14">
        <v>1.1</v>
      </c>
      <c r="O152" s="15">
        <f>SUM(N152:N157)</f>
        <v>6.79</v>
      </c>
      <c r="P152" s="16">
        <f t="shared" si="2"/>
        <v>4.327597196</v>
      </c>
    </row>
    <row r="153">
      <c r="A153" s="17"/>
      <c r="B153" s="18"/>
      <c r="C153" s="46" t="s">
        <v>16</v>
      </c>
      <c r="D153" s="36" t="s">
        <v>36</v>
      </c>
      <c r="E153" s="24" t="s">
        <v>18</v>
      </c>
      <c r="F153" s="37" t="s">
        <v>37</v>
      </c>
      <c r="G153" s="26" t="str">
        <f t="shared" si="1"/>
        <v>16O_No C</v>
      </c>
      <c r="H153" s="45" t="s">
        <v>54</v>
      </c>
      <c r="I153" s="10">
        <v>26.0</v>
      </c>
      <c r="J153" s="11" t="s">
        <v>61</v>
      </c>
      <c r="K153" s="12" t="str">
        <f>IFERROR(__xludf.DUMMYFUNCTION("TEXTJOIN("""",TRUE, REGEXEXTRACT(J153, ""\d+""),""-"",LEFT(C153,3),""-"",LEFT(D153),""-"",LEFT(E153,2),LEFT(F153,2), ""-R"",REGEXEXTRACT(H153, ""\d+"") )"),"26-Rhi-N-16No-R2")</f>
        <v>26-Rhi-N-16No-R2</v>
      </c>
      <c r="L153" s="8" t="s">
        <v>23</v>
      </c>
      <c r="M153" s="13">
        <v>2.0</v>
      </c>
      <c r="N153" s="14">
        <v>1.16</v>
      </c>
      <c r="O153" s="19">
        <f>SUM(N152:N157)</f>
        <v>6.79</v>
      </c>
      <c r="P153" s="20">
        <f t="shared" si="2"/>
        <v>4.327597196</v>
      </c>
    </row>
    <row r="154">
      <c r="A154" s="6"/>
      <c r="B154" s="21"/>
      <c r="C154" s="46" t="s">
        <v>16</v>
      </c>
      <c r="D154" s="36" t="s">
        <v>36</v>
      </c>
      <c r="E154" s="24" t="s">
        <v>18</v>
      </c>
      <c r="F154" s="37" t="s">
        <v>37</v>
      </c>
      <c r="G154" s="26" t="str">
        <f t="shared" si="1"/>
        <v>16O_No C</v>
      </c>
      <c r="H154" s="45" t="s">
        <v>54</v>
      </c>
      <c r="I154" s="10">
        <v>26.0</v>
      </c>
      <c r="J154" s="11" t="s">
        <v>61</v>
      </c>
      <c r="K154" s="12" t="str">
        <f>IFERROR(__xludf.DUMMYFUNCTION("TEXTJOIN("""",TRUE, REGEXEXTRACT(J154, ""\d+""),""-"",LEFT(C154,3),""-"",LEFT(D154),""-"",LEFT(E154,2),LEFT(F154,2), ""-R"",REGEXEXTRACT(H154, ""\d+"") )"),"26-Rhi-N-16No-R2")</f>
        <v>26-Rhi-N-16No-R2</v>
      </c>
      <c r="L154" s="8" t="s">
        <v>24</v>
      </c>
      <c r="M154" s="13">
        <v>3.0</v>
      </c>
      <c r="N154" s="14">
        <v>1.1</v>
      </c>
      <c r="O154" s="15">
        <f>SUM(N152:N157)</f>
        <v>6.79</v>
      </c>
      <c r="P154" s="16">
        <f t="shared" si="2"/>
        <v>4.327597196</v>
      </c>
    </row>
    <row r="155">
      <c r="A155" s="17"/>
      <c r="B155" s="18"/>
      <c r="C155" s="46" t="s">
        <v>16</v>
      </c>
      <c r="D155" s="36" t="s">
        <v>36</v>
      </c>
      <c r="E155" s="24" t="s">
        <v>18</v>
      </c>
      <c r="F155" s="37" t="s">
        <v>37</v>
      </c>
      <c r="G155" s="26" t="str">
        <f t="shared" si="1"/>
        <v>16O_No C</v>
      </c>
      <c r="H155" s="45" t="s">
        <v>54</v>
      </c>
      <c r="I155" s="10">
        <v>26.0</v>
      </c>
      <c r="J155" s="11" t="s">
        <v>61</v>
      </c>
      <c r="K155" s="12" t="str">
        <f>IFERROR(__xludf.DUMMYFUNCTION("TEXTJOIN("""",TRUE, REGEXEXTRACT(J155, ""\d+""),""-"",LEFT(C155,3),""-"",LEFT(D155),""-"",LEFT(E155,2),LEFT(F155,2), ""-R"",REGEXEXTRACT(H155, ""\d+"") )"),"26-Rhi-N-16No-R2")</f>
        <v>26-Rhi-N-16No-R2</v>
      </c>
      <c r="L155" s="8" t="s">
        <v>25</v>
      </c>
      <c r="M155" s="13">
        <v>4.0</v>
      </c>
      <c r="N155" s="14">
        <v>1.18</v>
      </c>
      <c r="O155" s="19">
        <f>SUM(N152:N157)</f>
        <v>6.79</v>
      </c>
      <c r="P155" s="20">
        <f t="shared" si="2"/>
        <v>4.327597196</v>
      </c>
    </row>
    <row r="156">
      <c r="A156" s="6"/>
      <c r="B156" s="21"/>
      <c r="C156" s="46" t="s">
        <v>16</v>
      </c>
      <c r="D156" s="36" t="s">
        <v>36</v>
      </c>
      <c r="E156" s="24" t="s">
        <v>18</v>
      </c>
      <c r="F156" s="37" t="s">
        <v>37</v>
      </c>
      <c r="G156" s="26" t="str">
        <f t="shared" si="1"/>
        <v>16O_No C</v>
      </c>
      <c r="H156" s="45" t="s">
        <v>54</v>
      </c>
      <c r="I156" s="10">
        <v>26.0</v>
      </c>
      <c r="J156" s="11" t="s">
        <v>61</v>
      </c>
      <c r="K156" s="12" t="str">
        <f>IFERROR(__xludf.DUMMYFUNCTION("TEXTJOIN("""",TRUE, REGEXEXTRACT(J156, ""\d+""),""-"",LEFT(C156,3),""-"",LEFT(D156),""-"",LEFT(E156,2),LEFT(F156,2), ""-R"",REGEXEXTRACT(H156, ""\d+"") )"),"26-Rhi-N-16No-R2")</f>
        <v>26-Rhi-N-16No-R2</v>
      </c>
      <c r="L156" s="8" t="s">
        <v>26</v>
      </c>
      <c r="M156" s="13">
        <v>5.0</v>
      </c>
      <c r="N156" s="14">
        <v>1.14</v>
      </c>
      <c r="O156" s="15">
        <f>SUM(N152:N157)</f>
        <v>6.79</v>
      </c>
      <c r="P156" s="16">
        <f t="shared" si="2"/>
        <v>4.327597196</v>
      </c>
    </row>
    <row r="157">
      <c r="A157" s="17"/>
      <c r="B157" s="18"/>
      <c r="C157" s="46" t="s">
        <v>16</v>
      </c>
      <c r="D157" s="36" t="s">
        <v>36</v>
      </c>
      <c r="E157" s="24" t="s">
        <v>18</v>
      </c>
      <c r="F157" s="37" t="s">
        <v>37</v>
      </c>
      <c r="G157" s="26" t="str">
        <f t="shared" si="1"/>
        <v>16O_No C</v>
      </c>
      <c r="H157" s="45" t="s">
        <v>54</v>
      </c>
      <c r="I157" s="10">
        <v>26.0</v>
      </c>
      <c r="J157" s="11" t="s">
        <v>61</v>
      </c>
      <c r="K157" s="12" t="str">
        <f>IFERROR(__xludf.DUMMYFUNCTION("TEXTJOIN("""",TRUE, REGEXEXTRACT(J157, ""\d+""),""-"",LEFT(C157,3),""-"",LEFT(D157),""-"",LEFT(E157,2),LEFT(F157,2), ""-R"",REGEXEXTRACT(H157, ""\d+"") )"),"26-Rhi-N-16No-R2")</f>
        <v>26-Rhi-N-16No-R2</v>
      </c>
      <c r="L157" s="8" t="s">
        <v>27</v>
      </c>
      <c r="M157" s="13">
        <v>6.0</v>
      </c>
      <c r="N157" s="14">
        <v>1.11</v>
      </c>
      <c r="O157" s="19">
        <f>SUM(N152:N157)</f>
        <v>6.79</v>
      </c>
      <c r="P157" s="20">
        <f t="shared" si="2"/>
        <v>4.327597196</v>
      </c>
    </row>
    <row r="158">
      <c r="A158" s="6"/>
      <c r="B158" s="21"/>
      <c r="C158" s="46" t="s">
        <v>16</v>
      </c>
      <c r="D158" s="38" t="s">
        <v>36</v>
      </c>
      <c r="E158" s="33" t="s">
        <v>30</v>
      </c>
      <c r="F158" s="39" t="s">
        <v>37</v>
      </c>
      <c r="G158" s="30" t="str">
        <f t="shared" si="1"/>
        <v>18O_No C</v>
      </c>
      <c r="H158" s="45" t="s">
        <v>54</v>
      </c>
      <c r="I158" s="10">
        <v>27.0</v>
      </c>
      <c r="J158" s="11" t="s">
        <v>62</v>
      </c>
      <c r="K158" s="12" t="str">
        <f>IFERROR(__xludf.DUMMYFUNCTION("TEXTJOIN("""",TRUE, REGEXEXTRACT(J158, ""\d+""),""-"",LEFT(C158,3),""-"",LEFT(D158),""-"",LEFT(E158,2),LEFT(F158,2), ""-R"",REGEXEXTRACT(H158, ""\d+"") )"),"27-Rhi-N-18No-R2")</f>
        <v>27-Rhi-N-18No-R2</v>
      </c>
      <c r="L158" s="8" t="s">
        <v>22</v>
      </c>
      <c r="M158" s="13">
        <v>1.0</v>
      </c>
      <c r="N158" s="14">
        <v>1.19</v>
      </c>
      <c r="O158" s="15">
        <f>SUM(N158:N163)</f>
        <v>6.83</v>
      </c>
      <c r="P158" s="16">
        <f t="shared" si="2"/>
        <v>4.353091141</v>
      </c>
    </row>
    <row r="159">
      <c r="A159" s="17"/>
      <c r="B159" s="18"/>
      <c r="C159" s="46" t="s">
        <v>16</v>
      </c>
      <c r="D159" s="38" t="s">
        <v>36</v>
      </c>
      <c r="E159" s="33" t="s">
        <v>30</v>
      </c>
      <c r="F159" s="39" t="s">
        <v>37</v>
      </c>
      <c r="G159" s="30" t="str">
        <f t="shared" si="1"/>
        <v>18O_No C</v>
      </c>
      <c r="H159" s="45" t="s">
        <v>54</v>
      </c>
      <c r="I159" s="10">
        <v>27.0</v>
      </c>
      <c r="J159" s="11" t="s">
        <v>62</v>
      </c>
      <c r="K159" s="12" t="str">
        <f>IFERROR(__xludf.DUMMYFUNCTION("TEXTJOIN("""",TRUE, REGEXEXTRACT(J159, ""\d+""),""-"",LEFT(C159,3),""-"",LEFT(D159),""-"",LEFT(E159,2),LEFT(F159,2), ""-R"",REGEXEXTRACT(H159, ""\d+"") )"),"27-Rhi-N-18No-R2")</f>
        <v>27-Rhi-N-18No-R2</v>
      </c>
      <c r="L159" s="8" t="s">
        <v>23</v>
      </c>
      <c r="M159" s="13">
        <v>2.0</v>
      </c>
      <c r="N159" s="14">
        <f>2.31-1.19</f>
        <v>1.12</v>
      </c>
      <c r="O159" s="19">
        <f>SUM(N158:N163)</f>
        <v>6.83</v>
      </c>
      <c r="P159" s="20">
        <f t="shared" si="2"/>
        <v>4.353091141</v>
      </c>
    </row>
    <row r="160">
      <c r="A160" s="6"/>
      <c r="B160" s="21"/>
      <c r="C160" s="46" t="s">
        <v>16</v>
      </c>
      <c r="D160" s="38" t="s">
        <v>36</v>
      </c>
      <c r="E160" s="33" t="s">
        <v>30</v>
      </c>
      <c r="F160" s="39" t="s">
        <v>37</v>
      </c>
      <c r="G160" s="30" t="str">
        <f t="shared" si="1"/>
        <v>18O_No C</v>
      </c>
      <c r="H160" s="45" t="s">
        <v>54</v>
      </c>
      <c r="I160" s="10">
        <v>27.0</v>
      </c>
      <c r="J160" s="11" t="s">
        <v>62</v>
      </c>
      <c r="K160" s="12" t="str">
        <f>IFERROR(__xludf.DUMMYFUNCTION("TEXTJOIN("""",TRUE, REGEXEXTRACT(J160, ""\d+""),""-"",LEFT(C160,3),""-"",LEFT(D160),""-"",LEFT(E160,2),LEFT(F160,2), ""-R"",REGEXEXTRACT(H160, ""\d+"") )"),"27-Rhi-N-18No-R2")</f>
        <v>27-Rhi-N-18No-R2</v>
      </c>
      <c r="L160" s="8" t="s">
        <v>24</v>
      </c>
      <c r="M160" s="13">
        <v>3.0</v>
      </c>
      <c r="N160" s="14">
        <v>1.08</v>
      </c>
      <c r="O160" s="15">
        <f>SUM(N158:N163)</f>
        <v>6.83</v>
      </c>
      <c r="P160" s="16">
        <f t="shared" si="2"/>
        <v>4.353091141</v>
      </c>
    </row>
    <row r="161">
      <c r="A161" s="17"/>
      <c r="B161" s="18"/>
      <c r="C161" s="46" t="s">
        <v>16</v>
      </c>
      <c r="D161" s="38" t="s">
        <v>36</v>
      </c>
      <c r="E161" s="33" t="s">
        <v>30</v>
      </c>
      <c r="F161" s="39" t="s">
        <v>37</v>
      </c>
      <c r="G161" s="30" t="str">
        <f t="shared" si="1"/>
        <v>18O_No C</v>
      </c>
      <c r="H161" s="45" t="s">
        <v>54</v>
      </c>
      <c r="I161" s="10">
        <v>27.0</v>
      </c>
      <c r="J161" s="11" t="s">
        <v>62</v>
      </c>
      <c r="K161" s="12" t="str">
        <f>IFERROR(__xludf.DUMMYFUNCTION("TEXTJOIN("""",TRUE, REGEXEXTRACT(J161, ""\d+""),""-"",LEFT(C161,3),""-"",LEFT(D161),""-"",LEFT(E161,2),LEFT(F161,2), ""-R"",REGEXEXTRACT(H161, ""\d+"") )"),"27-Rhi-N-18No-R2")</f>
        <v>27-Rhi-N-18No-R2</v>
      </c>
      <c r="L161" s="8" t="s">
        <v>25</v>
      </c>
      <c r="M161" s="13">
        <v>4.0</v>
      </c>
      <c r="N161" s="14">
        <v>1.15</v>
      </c>
      <c r="O161" s="19">
        <f>SUM(N158:N163)</f>
        <v>6.83</v>
      </c>
      <c r="P161" s="20">
        <f t="shared" si="2"/>
        <v>4.353091141</v>
      </c>
    </row>
    <row r="162">
      <c r="A162" s="6"/>
      <c r="B162" s="21"/>
      <c r="C162" s="46" t="s">
        <v>16</v>
      </c>
      <c r="D162" s="38" t="s">
        <v>36</v>
      </c>
      <c r="E162" s="33" t="s">
        <v>30</v>
      </c>
      <c r="F162" s="39" t="s">
        <v>37</v>
      </c>
      <c r="G162" s="30" t="str">
        <f t="shared" si="1"/>
        <v>18O_No C</v>
      </c>
      <c r="H162" s="45" t="s">
        <v>54</v>
      </c>
      <c r="I162" s="10">
        <v>27.0</v>
      </c>
      <c r="J162" s="11" t="s">
        <v>62</v>
      </c>
      <c r="K162" s="12" t="str">
        <f>IFERROR(__xludf.DUMMYFUNCTION("TEXTJOIN("""",TRUE, REGEXEXTRACT(J162, ""\d+""),""-"",LEFT(C162,3),""-"",LEFT(D162),""-"",LEFT(E162,2),LEFT(F162,2), ""-R"",REGEXEXTRACT(H162, ""\d+"") )"),"27-Rhi-N-18No-R2")</f>
        <v>27-Rhi-N-18No-R2</v>
      </c>
      <c r="L162" s="8" t="s">
        <v>26</v>
      </c>
      <c r="M162" s="13">
        <v>5.0</v>
      </c>
      <c r="N162" s="14">
        <v>1.14</v>
      </c>
      <c r="O162" s="15">
        <f>SUM(N158:N163)</f>
        <v>6.83</v>
      </c>
      <c r="P162" s="16">
        <f t="shared" si="2"/>
        <v>4.353091141</v>
      </c>
    </row>
    <row r="163">
      <c r="A163" s="17"/>
      <c r="B163" s="18"/>
      <c r="C163" s="46" t="s">
        <v>16</v>
      </c>
      <c r="D163" s="38" t="s">
        <v>36</v>
      </c>
      <c r="E163" s="33" t="s">
        <v>30</v>
      </c>
      <c r="F163" s="39" t="s">
        <v>37</v>
      </c>
      <c r="G163" s="30" t="str">
        <f t="shared" si="1"/>
        <v>18O_No C</v>
      </c>
      <c r="H163" s="45" t="s">
        <v>54</v>
      </c>
      <c r="I163" s="10">
        <v>27.0</v>
      </c>
      <c r="J163" s="11" t="s">
        <v>62</v>
      </c>
      <c r="K163" s="12" t="str">
        <f>IFERROR(__xludf.DUMMYFUNCTION("TEXTJOIN("""",TRUE, REGEXEXTRACT(J163, ""\d+""),""-"",LEFT(C163,3),""-"",LEFT(D163),""-"",LEFT(E163,2),LEFT(F163,2), ""-R"",REGEXEXTRACT(H163, ""\d+"") )"),"27-Rhi-N-18No-R2")</f>
        <v>27-Rhi-N-18No-R2</v>
      </c>
      <c r="L163" s="8" t="s">
        <v>27</v>
      </c>
      <c r="M163" s="13">
        <v>6.0</v>
      </c>
      <c r="N163" s="14">
        <f>2.23-1.08</f>
        <v>1.15</v>
      </c>
      <c r="O163" s="19">
        <f>SUM(N158:N163)</f>
        <v>6.83</v>
      </c>
      <c r="P163" s="20">
        <f t="shared" si="2"/>
        <v>4.353091141</v>
      </c>
    </row>
    <row r="164">
      <c r="A164" s="6"/>
      <c r="B164" s="21"/>
      <c r="C164" s="47" t="s">
        <v>40</v>
      </c>
      <c r="D164" s="23" t="s">
        <v>17</v>
      </c>
      <c r="E164" s="24" t="s">
        <v>18</v>
      </c>
      <c r="F164" s="25" t="s">
        <v>19</v>
      </c>
      <c r="G164" s="26" t="str">
        <f t="shared" si="1"/>
        <v>16O_13C</v>
      </c>
      <c r="H164" s="45" t="s">
        <v>54</v>
      </c>
      <c r="I164" s="10">
        <v>28.0</v>
      </c>
      <c r="J164" s="11" t="s">
        <v>63</v>
      </c>
      <c r="K164" s="12" t="str">
        <f>IFERROR(__xludf.DUMMYFUNCTION("TEXTJOIN("""",TRUE, REGEXEXTRACT(J164, ""\d+""),""-"",LEFT(C164,3),""-"",LEFT(D164),""-"",LEFT(E164,2),LEFT(F164,2), ""-R"",REGEXEXTRACT(H164, ""\d+"") )"),"28-Act-L-1613-R2")</f>
        <v>28-Act-L-1613-R2</v>
      </c>
      <c r="L164" s="8" t="s">
        <v>22</v>
      </c>
      <c r="M164" s="13">
        <v>1.0</v>
      </c>
      <c r="N164" s="14">
        <v>1.15</v>
      </c>
      <c r="O164" s="15">
        <f>SUM(N164:N169)</f>
        <v>6.94</v>
      </c>
      <c r="P164" s="16">
        <f t="shared" si="2"/>
        <v>4.42319949</v>
      </c>
    </row>
    <row r="165">
      <c r="A165" s="17"/>
      <c r="B165" s="18"/>
      <c r="C165" s="47" t="s">
        <v>40</v>
      </c>
      <c r="D165" s="23" t="s">
        <v>17</v>
      </c>
      <c r="E165" s="24" t="s">
        <v>18</v>
      </c>
      <c r="F165" s="25" t="s">
        <v>19</v>
      </c>
      <c r="G165" s="26" t="str">
        <f t="shared" si="1"/>
        <v>16O_13C</v>
      </c>
      <c r="H165" s="45" t="s">
        <v>54</v>
      </c>
      <c r="I165" s="10">
        <v>28.0</v>
      </c>
      <c r="J165" s="11" t="s">
        <v>63</v>
      </c>
      <c r="K165" s="12" t="str">
        <f>IFERROR(__xludf.DUMMYFUNCTION("TEXTJOIN("""",TRUE, REGEXEXTRACT(J165, ""\d+""),""-"",LEFT(C165,3),""-"",LEFT(D165),""-"",LEFT(E165,2),LEFT(F165,2), ""-R"",REGEXEXTRACT(H165, ""\d+"") )"),"28-Act-L-1613-R2")</f>
        <v>28-Act-L-1613-R2</v>
      </c>
      <c r="L165" s="8" t="s">
        <v>23</v>
      </c>
      <c r="M165" s="13">
        <v>2.0</v>
      </c>
      <c r="N165" s="14">
        <f>2.34-1.15</f>
        <v>1.19</v>
      </c>
      <c r="O165" s="19">
        <f>SUM(N164:N169)</f>
        <v>6.94</v>
      </c>
      <c r="P165" s="20">
        <f t="shared" si="2"/>
        <v>4.42319949</v>
      </c>
    </row>
    <row r="166">
      <c r="A166" s="6"/>
      <c r="B166" s="21"/>
      <c r="C166" s="47" t="s">
        <v>40</v>
      </c>
      <c r="D166" s="23" t="s">
        <v>17</v>
      </c>
      <c r="E166" s="24" t="s">
        <v>18</v>
      </c>
      <c r="F166" s="25" t="s">
        <v>19</v>
      </c>
      <c r="G166" s="26" t="str">
        <f t="shared" si="1"/>
        <v>16O_13C</v>
      </c>
      <c r="H166" s="45" t="s">
        <v>54</v>
      </c>
      <c r="I166" s="10">
        <v>28.0</v>
      </c>
      <c r="J166" s="11" t="s">
        <v>63</v>
      </c>
      <c r="K166" s="12" t="str">
        <f>IFERROR(__xludf.DUMMYFUNCTION("TEXTJOIN("""",TRUE, REGEXEXTRACT(J166, ""\d+""),""-"",LEFT(C166,3),""-"",LEFT(D166),""-"",LEFT(E166,2),LEFT(F166,2), ""-R"",REGEXEXTRACT(H166, ""\d+"") )"),"28-Act-L-1613-R2")</f>
        <v>28-Act-L-1613-R2</v>
      </c>
      <c r="L166" s="8" t="s">
        <v>24</v>
      </c>
      <c r="M166" s="13">
        <v>3.0</v>
      </c>
      <c r="N166" s="14">
        <v>1.14</v>
      </c>
      <c r="O166" s="15">
        <f>SUM(N164:N169)</f>
        <v>6.94</v>
      </c>
      <c r="P166" s="16">
        <f t="shared" si="2"/>
        <v>4.42319949</v>
      </c>
    </row>
    <row r="167">
      <c r="A167" s="17"/>
      <c r="B167" s="18"/>
      <c r="C167" s="47" t="s">
        <v>40</v>
      </c>
      <c r="D167" s="23" t="s">
        <v>17</v>
      </c>
      <c r="E167" s="24" t="s">
        <v>18</v>
      </c>
      <c r="F167" s="25" t="s">
        <v>19</v>
      </c>
      <c r="G167" s="26" t="str">
        <f t="shared" si="1"/>
        <v>16O_13C</v>
      </c>
      <c r="H167" s="45" t="s">
        <v>54</v>
      </c>
      <c r="I167" s="10">
        <v>28.0</v>
      </c>
      <c r="J167" s="11" t="s">
        <v>63</v>
      </c>
      <c r="K167" s="12" t="str">
        <f>IFERROR(__xludf.DUMMYFUNCTION("TEXTJOIN("""",TRUE, REGEXEXTRACT(J167, ""\d+""),""-"",LEFT(C167,3),""-"",LEFT(D167),""-"",LEFT(E167,2),LEFT(F167,2), ""-R"",REGEXEXTRACT(H167, ""\d+"") )"),"28-Act-L-1613-R2")</f>
        <v>28-Act-L-1613-R2</v>
      </c>
      <c r="L167" s="8" t="s">
        <v>25</v>
      </c>
      <c r="M167" s="13">
        <v>4.0</v>
      </c>
      <c r="N167" s="14">
        <v>1.2</v>
      </c>
      <c r="O167" s="19">
        <f>SUM(N164:N169)</f>
        <v>6.94</v>
      </c>
      <c r="P167" s="20">
        <f t="shared" si="2"/>
        <v>4.42319949</v>
      </c>
    </row>
    <row r="168">
      <c r="A168" s="6"/>
      <c r="B168" s="21"/>
      <c r="C168" s="47" t="s">
        <v>40</v>
      </c>
      <c r="D168" s="23" t="s">
        <v>17</v>
      </c>
      <c r="E168" s="24" t="s">
        <v>18</v>
      </c>
      <c r="F168" s="25" t="s">
        <v>19</v>
      </c>
      <c r="G168" s="26" t="str">
        <f t="shared" si="1"/>
        <v>16O_13C</v>
      </c>
      <c r="H168" s="45" t="s">
        <v>54</v>
      </c>
      <c r="I168" s="10">
        <v>28.0</v>
      </c>
      <c r="J168" s="11" t="s">
        <v>63</v>
      </c>
      <c r="K168" s="12" t="str">
        <f>IFERROR(__xludf.DUMMYFUNCTION("TEXTJOIN("""",TRUE, REGEXEXTRACT(J168, ""\d+""),""-"",LEFT(C168,3),""-"",LEFT(D168),""-"",LEFT(E168,2),LEFT(F168,2), ""-R"",REGEXEXTRACT(H168, ""\d+"") )"),"28-Act-L-1613-R2")</f>
        <v>28-Act-L-1613-R2</v>
      </c>
      <c r="L168" s="8" t="s">
        <v>26</v>
      </c>
      <c r="M168" s="13">
        <v>5.0</v>
      </c>
      <c r="N168" s="14">
        <v>1.12</v>
      </c>
      <c r="O168" s="15">
        <f>SUM(N164:N169)</f>
        <v>6.94</v>
      </c>
      <c r="P168" s="16">
        <f t="shared" si="2"/>
        <v>4.42319949</v>
      </c>
    </row>
    <row r="169">
      <c r="A169" s="17"/>
      <c r="B169" s="18"/>
      <c r="C169" s="47" t="s">
        <v>40</v>
      </c>
      <c r="D169" s="23" t="s">
        <v>17</v>
      </c>
      <c r="E169" s="24" t="s">
        <v>18</v>
      </c>
      <c r="F169" s="25" t="s">
        <v>19</v>
      </c>
      <c r="G169" s="26" t="str">
        <f t="shared" si="1"/>
        <v>16O_13C</v>
      </c>
      <c r="H169" s="45" t="s">
        <v>54</v>
      </c>
      <c r="I169" s="10">
        <v>28.0</v>
      </c>
      <c r="J169" s="11" t="s">
        <v>63</v>
      </c>
      <c r="K169" s="12" t="str">
        <f>IFERROR(__xludf.DUMMYFUNCTION("TEXTJOIN("""",TRUE, REGEXEXTRACT(J169, ""\d+""),""-"",LEFT(C169,3),""-"",LEFT(D169),""-"",LEFT(E169,2),LEFT(F169,2), ""-R"",REGEXEXTRACT(H169, ""\d+"") )"),"28-Act-L-1613-R2")</f>
        <v>28-Act-L-1613-R2</v>
      </c>
      <c r="L169" s="8" t="s">
        <v>27</v>
      </c>
      <c r="M169" s="13">
        <v>6.0</v>
      </c>
      <c r="N169" s="14">
        <v>1.14</v>
      </c>
      <c r="O169" s="19">
        <f>SUM(N164:N169)</f>
        <v>6.94</v>
      </c>
      <c r="P169" s="20">
        <f t="shared" si="2"/>
        <v>4.42319949</v>
      </c>
    </row>
    <row r="170">
      <c r="A170" s="6"/>
      <c r="B170" s="21"/>
      <c r="C170" s="48" t="s">
        <v>40</v>
      </c>
      <c r="D170" s="28" t="s">
        <v>17</v>
      </c>
      <c r="E170" s="29" t="s">
        <v>18</v>
      </c>
      <c r="F170" s="29" t="s">
        <v>28</v>
      </c>
      <c r="G170" s="30" t="str">
        <f t="shared" si="1"/>
        <v>16O_12C</v>
      </c>
      <c r="H170" s="45" t="s">
        <v>54</v>
      </c>
      <c r="I170" s="10">
        <v>29.0</v>
      </c>
      <c r="J170" s="11" t="s">
        <v>64</v>
      </c>
      <c r="K170" s="12" t="str">
        <f>IFERROR(__xludf.DUMMYFUNCTION("TEXTJOIN("""",TRUE, REGEXEXTRACT(J170, ""\d+""),""-"",LEFT(C170,3),""-"",LEFT(D170),""-"",LEFT(E170,2),LEFT(F170,2), ""-R"",REGEXEXTRACT(H170, ""\d+"") )"),"29-Act-L-1612-R2")</f>
        <v>29-Act-L-1612-R2</v>
      </c>
      <c r="L170" s="8" t="s">
        <v>22</v>
      </c>
      <c r="M170" s="13">
        <v>1.0</v>
      </c>
      <c r="N170" s="14">
        <v>1.2</v>
      </c>
      <c r="O170" s="15">
        <f>SUM(N170:N175)</f>
        <v>7.1</v>
      </c>
      <c r="P170" s="16">
        <f t="shared" si="2"/>
        <v>4.525175271</v>
      </c>
    </row>
    <row r="171">
      <c r="A171" s="17"/>
      <c r="B171" s="18"/>
      <c r="C171" s="48" t="s">
        <v>40</v>
      </c>
      <c r="D171" s="28" t="s">
        <v>17</v>
      </c>
      <c r="E171" s="29" t="s">
        <v>18</v>
      </c>
      <c r="F171" s="29" t="s">
        <v>28</v>
      </c>
      <c r="G171" s="30" t="str">
        <f t="shared" si="1"/>
        <v>16O_12C</v>
      </c>
      <c r="H171" s="45" t="s">
        <v>54</v>
      </c>
      <c r="I171" s="10">
        <v>29.0</v>
      </c>
      <c r="J171" s="11" t="s">
        <v>64</v>
      </c>
      <c r="K171" s="12" t="str">
        <f>IFERROR(__xludf.DUMMYFUNCTION("TEXTJOIN("""",TRUE, REGEXEXTRACT(J171, ""\d+""),""-"",LEFT(C171,3),""-"",LEFT(D171),""-"",LEFT(E171,2),LEFT(F171,2), ""-R"",REGEXEXTRACT(H171, ""\d+"") )"),"29-Act-L-1612-R2")</f>
        <v>29-Act-L-1612-R2</v>
      </c>
      <c r="L171" s="8" t="s">
        <v>23</v>
      </c>
      <c r="M171" s="13">
        <v>2.0</v>
      </c>
      <c r="N171" s="14">
        <v>1.18</v>
      </c>
      <c r="O171" s="19">
        <f>SUM(N170:N175)</f>
        <v>7.1</v>
      </c>
      <c r="P171" s="20">
        <f t="shared" si="2"/>
        <v>4.525175271</v>
      </c>
    </row>
    <row r="172">
      <c r="A172" s="6"/>
      <c r="B172" s="21"/>
      <c r="C172" s="48" t="s">
        <v>40</v>
      </c>
      <c r="D172" s="28" t="s">
        <v>17</v>
      </c>
      <c r="E172" s="29" t="s">
        <v>18</v>
      </c>
      <c r="F172" s="29" t="s">
        <v>28</v>
      </c>
      <c r="G172" s="30" t="str">
        <f t="shared" si="1"/>
        <v>16O_12C</v>
      </c>
      <c r="H172" s="45" t="s">
        <v>54</v>
      </c>
      <c r="I172" s="10">
        <v>29.0</v>
      </c>
      <c r="J172" s="11" t="s">
        <v>64</v>
      </c>
      <c r="K172" s="12" t="str">
        <f>IFERROR(__xludf.DUMMYFUNCTION("TEXTJOIN("""",TRUE, REGEXEXTRACT(J172, ""\d+""),""-"",LEFT(C172,3),""-"",LEFT(D172),""-"",LEFT(E172,2),LEFT(F172,2), ""-R"",REGEXEXTRACT(H172, ""\d+"") )"),"29-Act-L-1612-R2")</f>
        <v>29-Act-L-1612-R2</v>
      </c>
      <c r="L172" s="8" t="s">
        <v>24</v>
      </c>
      <c r="M172" s="13">
        <v>3.0</v>
      </c>
      <c r="N172" s="14">
        <v>1.12</v>
      </c>
      <c r="O172" s="15">
        <f>SUM(N170:N175)</f>
        <v>7.1</v>
      </c>
      <c r="P172" s="16">
        <f t="shared" si="2"/>
        <v>4.525175271</v>
      </c>
    </row>
    <row r="173">
      <c r="A173" s="17"/>
      <c r="B173" s="18"/>
      <c r="C173" s="48" t="s">
        <v>40</v>
      </c>
      <c r="D173" s="28" t="s">
        <v>17</v>
      </c>
      <c r="E173" s="29" t="s">
        <v>18</v>
      </c>
      <c r="F173" s="29" t="s">
        <v>28</v>
      </c>
      <c r="G173" s="30" t="str">
        <f t="shared" si="1"/>
        <v>16O_12C</v>
      </c>
      <c r="H173" s="45" t="s">
        <v>54</v>
      </c>
      <c r="I173" s="10">
        <v>29.0</v>
      </c>
      <c r="J173" s="11" t="s">
        <v>64</v>
      </c>
      <c r="K173" s="12" t="str">
        <f>IFERROR(__xludf.DUMMYFUNCTION("TEXTJOIN("""",TRUE, REGEXEXTRACT(J173, ""\d+""),""-"",LEFT(C173,3),""-"",LEFT(D173),""-"",LEFT(E173,2),LEFT(F173,2), ""-R"",REGEXEXTRACT(H173, ""\d+"") )"),"29-Act-L-1612-R2")</f>
        <v>29-Act-L-1612-R2</v>
      </c>
      <c r="L173" s="8" t="s">
        <v>25</v>
      </c>
      <c r="M173" s="13">
        <v>4.0</v>
      </c>
      <c r="N173" s="14">
        <v>1.2</v>
      </c>
      <c r="O173" s="19">
        <f>SUM(N170:N175)</f>
        <v>7.1</v>
      </c>
      <c r="P173" s="20">
        <f t="shared" si="2"/>
        <v>4.525175271</v>
      </c>
    </row>
    <row r="174">
      <c r="A174" s="6"/>
      <c r="B174" s="21"/>
      <c r="C174" s="48" t="s">
        <v>40</v>
      </c>
      <c r="D174" s="28" t="s">
        <v>17</v>
      </c>
      <c r="E174" s="29" t="s">
        <v>18</v>
      </c>
      <c r="F174" s="29" t="s">
        <v>28</v>
      </c>
      <c r="G174" s="30" t="str">
        <f t="shared" si="1"/>
        <v>16O_12C</v>
      </c>
      <c r="H174" s="45" t="s">
        <v>54</v>
      </c>
      <c r="I174" s="10">
        <v>29.0</v>
      </c>
      <c r="J174" s="11" t="s">
        <v>64</v>
      </c>
      <c r="K174" s="12" t="str">
        <f>IFERROR(__xludf.DUMMYFUNCTION("TEXTJOIN("""",TRUE, REGEXEXTRACT(J174, ""\d+""),""-"",LEFT(C174,3),""-"",LEFT(D174),""-"",LEFT(E174,2),LEFT(F174,2), ""-R"",REGEXEXTRACT(H174, ""\d+"") )"),"29-Act-L-1612-R2")</f>
        <v>29-Act-L-1612-R2</v>
      </c>
      <c r="L174" s="8" t="s">
        <v>26</v>
      </c>
      <c r="M174" s="13">
        <v>5.0</v>
      </c>
      <c r="N174" s="14">
        <v>1.21</v>
      </c>
      <c r="O174" s="15">
        <f>SUM(N170:N175)</f>
        <v>7.1</v>
      </c>
      <c r="P174" s="16">
        <f t="shared" si="2"/>
        <v>4.525175271</v>
      </c>
    </row>
    <row r="175">
      <c r="A175" s="17"/>
      <c r="B175" s="18"/>
      <c r="C175" s="48" t="s">
        <v>40</v>
      </c>
      <c r="D175" s="28" t="s">
        <v>17</v>
      </c>
      <c r="E175" s="29" t="s">
        <v>18</v>
      </c>
      <c r="F175" s="29" t="s">
        <v>28</v>
      </c>
      <c r="G175" s="30" t="str">
        <f t="shared" si="1"/>
        <v>16O_12C</v>
      </c>
      <c r="H175" s="45" t="s">
        <v>54</v>
      </c>
      <c r="I175" s="10">
        <v>29.0</v>
      </c>
      <c r="J175" s="11" t="s">
        <v>64</v>
      </c>
      <c r="K175" s="12" t="str">
        <f>IFERROR(__xludf.DUMMYFUNCTION("TEXTJOIN("""",TRUE, REGEXEXTRACT(J175, ""\d+""),""-"",LEFT(C175,3),""-"",LEFT(D175),""-"",LEFT(E175,2),LEFT(F175,2), ""-R"",REGEXEXTRACT(H175, ""\d+"") )"),"29-Act-L-1612-R2")</f>
        <v>29-Act-L-1612-R2</v>
      </c>
      <c r="L175" s="8" t="s">
        <v>27</v>
      </c>
      <c r="M175" s="13">
        <v>6.0</v>
      </c>
      <c r="N175" s="14">
        <v>1.19</v>
      </c>
      <c r="O175" s="19">
        <f>SUM(N170:N175)</f>
        <v>7.1</v>
      </c>
      <c r="P175" s="20">
        <f t="shared" si="2"/>
        <v>4.525175271</v>
      </c>
    </row>
    <row r="176">
      <c r="A176" s="6"/>
      <c r="B176" s="21"/>
      <c r="C176" s="47" t="s">
        <v>40</v>
      </c>
      <c r="D176" s="23" t="s">
        <v>17</v>
      </c>
      <c r="E176" s="25" t="s">
        <v>30</v>
      </c>
      <c r="F176" s="24" t="s">
        <v>28</v>
      </c>
      <c r="G176" s="26" t="str">
        <f t="shared" si="1"/>
        <v>18O_12C</v>
      </c>
      <c r="H176" s="45" t="s">
        <v>54</v>
      </c>
      <c r="I176" s="10">
        <v>30.0</v>
      </c>
      <c r="J176" s="11" t="s">
        <v>65</v>
      </c>
      <c r="K176" s="12" t="str">
        <f>IFERROR(__xludf.DUMMYFUNCTION("TEXTJOIN("""",TRUE, REGEXEXTRACT(J176, ""\d+""),""-"",LEFT(C176,3),""-"",LEFT(D176),""-"",LEFT(E176,2),LEFT(F176,2), ""-R"",REGEXEXTRACT(H176, ""\d+"") )"),"30-Act-L-1812-R2")</f>
        <v>30-Act-L-1812-R2</v>
      </c>
      <c r="L176" s="8" t="s">
        <v>22</v>
      </c>
      <c r="M176" s="13">
        <v>1.0</v>
      </c>
      <c r="N176" s="14">
        <v>1.16</v>
      </c>
      <c r="O176" s="15">
        <f>SUM(N176:N181)</f>
        <v>7.06</v>
      </c>
      <c r="P176" s="16">
        <f t="shared" si="2"/>
        <v>4.499681326</v>
      </c>
    </row>
    <row r="177">
      <c r="A177" s="17"/>
      <c r="B177" s="18"/>
      <c r="C177" s="47" t="s">
        <v>40</v>
      </c>
      <c r="D177" s="23" t="s">
        <v>17</v>
      </c>
      <c r="E177" s="25" t="s">
        <v>30</v>
      </c>
      <c r="F177" s="24" t="s">
        <v>28</v>
      </c>
      <c r="G177" s="26" t="str">
        <f t="shared" si="1"/>
        <v>18O_12C</v>
      </c>
      <c r="H177" s="45" t="s">
        <v>54</v>
      </c>
      <c r="I177" s="10">
        <v>30.0</v>
      </c>
      <c r="J177" s="11" t="s">
        <v>65</v>
      </c>
      <c r="K177" s="12" t="str">
        <f>IFERROR(__xludf.DUMMYFUNCTION("TEXTJOIN("""",TRUE, REGEXEXTRACT(J177, ""\d+""),""-"",LEFT(C177,3),""-"",LEFT(D177),""-"",LEFT(E177,2),LEFT(F177,2), ""-R"",REGEXEXTRACT(H177, ""\d+"") )"),"30-Act-L-1812-R2")</f>
        <v>30-Act-L-1812-R2</v>
      </c>
      <c r="L177" s="8" t="s">
        <v>23</v>
      </c>
      <c r="M177" s="13">
        <v>2.0</v>
      </c>
      <c r="N177" s="14">
        <v>1.2</v>
      </c>
      <c r="O177" s="19">
        <f>SUM(N176:N181)</f>
        <v>7.06</v>
      </c>
      <c r="P177" s="20">
        <f t="shared" si="2"/>
        <v>4.499681326</v>
      </c>
    </row>
    <row r="178">
      <c r="A178" s="6"/>
      <c r="B178" s="21"/>
      <c r="C178" s="47" t="s">
        <v>40</v>
      </c>
      <c r="D178" s="23" t="s">
        <v>17</v>
      </c>
      <c r="E178" s="25" t="s">
        <v>30</v>
      </c>
      <c r="F178" s="24" t="s">
        <v>28</v>
      </c>
      <c r="G178" s="26" t="str">
        <f t="shared" si="1"/>
        <v>18O_12C</v>
      </c>
      <c r="H178" s="45" t="s">
        <v>54</v>
      </c>
      <c r="I178" s="10">
        <v>30.0</v>
      </c>
      <c r="J178" s="11" t="s">
        <v>65</v>
      </c>
      <c r="K178" s="12" t="str">
        <f>IFERROR(__xludf.DUMMYFUNCTION("TEXTJOIN("""",TRUE, REGEXEXTRACT(J178, ""\d+""),""-"",LEFT(C178,3),""-"",LEFT(D178),""-"",LEFT(E178,2),LEFT(F178,2), ""-R"",REGEXEXTRACT(H178, ""\d+"") )"),"30-Act-L-1812-R2")</f>
        <v>30-Act-L-1812-R2</v>
      </c>
      <c r="L178" s="8" t="s">
        <v>24</v>
      </c>
      <c r="M178" s="13">
        <v>3.0</v>
      </c>
      <c r="N178" s="14">
        <v>1.17</v>
      </c>
      <c r="O178" s="15">
        <f>SUM(N176:N181)</f>
        <v>7.06</v>
      </c>
      <c r="P178" s="16">
        <f t="shared" si="2"/>
        <v>4.499681326</v>
      </c>
    </row>
    <row r="179">
      <c r="A179" s="17"/>
      <c r="B179" s="18"/>
      <c r="C179" s="47" t="s">
        <v>40</v>
      </c>
      <c r="D179" s="23" t="s">
        <v>17</v>
      </c>
      <c r="E179" s="25" t="s">
        <v>30</v>
      </c>
      <c r="F179" s="24" t="s">
        <v>28</v>
      </c>
      <c r="G179" s="26" t="str">
        <f t="shared" si="1"/>
        <v>18O_12C</v>
      </c>
      <c r="H179" s="45" t="s">
        <v>54</v>
      </c>
      <c r="I179" s="10">
        <v>30.0</v>
      </c>
      <c r="J179" s="11" t="s">
        <v>65</v>
      </c>
      <c r="K179" s="12" t="str">
        <f>IFERROR(__xludf.DUMMYFUNCTION("TEXTJOIN("""",TRUE, REGEXEXTRACT(J179, ""\d+""),""-"",LEFT(C179,3),""-"",LEFT(D179),""-"",LEFT(E179,2),LEFT(F179,2), ""-R"",REGEXEXTRACT(H179, ""\d+"") )"),"30-Act-L-1812-R2")</f>
        <v>30-Act-L-1812-R2</v>
      </c>
      <c r="L179" s="8" t="s">
        <v>25</v>
      </c>
      <c r="M179" s="13">
        <v>4.0</v>
      </c>
      <c r="N179" s="14">
        <v>1.2</v>
      </c>
      <c r="O179" s="19">
        <f>SUM(N176:N181)</f>
        <v>7.06</v>
      </c>
      <c r="P179" s="20">
        <f t="shared" si="2"/>
        <v>4.499681326</v>
      </c>
    </row>
    <row r="180">
      <c r="A180" s="6"/>
      <c r="B180" s="21"/>
      <c r="C180" s="47" t="s">
        <v>40</v>
      </c>
      <c r="D180" s="23" t="s">
        <v>17</v>
      </c>
      <c r="E180" s="25" t="s">
        <v>30</v>
      </c>
      <c r="F180" s="24" t="s">
        <v>28</v>
      </c>
      <c r="G180" s="26" t="str">
        <f t="shared" si="1"/>
        <v>18O_12C</v>
      </c>
      <c r="H180" s="45" t="s">
        <v>54</v>
      </c>
      <c r="I180" s="10">
        <v>30.0</v>
      </c>
      <c r="J180" s="11" t="s">
        <v>65</v>
      </c>
      <c r="K180" s="12" t="str">
        <f>IFERROR(__xludf.DUMMYFUNCTION("TEXTJOIN("""",TRUE, REGEXEXTRACT(J180, ""\d+""),""-"",LEFT(C180,3),""-"",LEFT(D180),""-"",LEFT(E180,2),LEFT(F180,2), ""-R"",REGEXEXTRACT(H180, ""\d+"") )"),"30-Act-L-1812-R2")</f>
        <v>30-Act-L-1812-R2</v>
      </c>
      <c r="L180" s="8" t="s">
        <v>26</v>
      </c>
      <c r="M180" s="13">
        <v>5.0</v>
      </c>
      <c r="N180" s="14">
        <v>1.19</v>
      </c>
      <c r="O180" s="15">
        <f>SUM(N176:N181)</f>
        <v>7.06</v>
      </c>
      <c r="P180" s="16">
        <f t="shared" si="2"/>
        <v>4.499681326</v>
      </c>
    </row>
    <row r="181">
      <c r="A181" s="17"/>
      <c r="B181" s="18"/>
      <c r="C181" s="47" t="s">
        <v>40</v>
      </c>
      <c r="D181" s="23" t="s">
        <v>17</v>
      </c>
      <c r="E181" s="25" t="s">
        <v>30</v>
      </c>
      <c r="F181" s="24" t="s">
        <v>28</v>
      </c>
      <c r="G181" s="26" t="str">
        <f t="shared" si="1"/>
        <v>18O_12C</v>
      </c>
      <c r="H181" s="45" t="s">
        <v>54</v>
      </c>
      <c r="I181" s="10">
        <v>30.0</v>
      </c>
      <c r="J181" s="11" t="s">
        <v>65</v>
      </c>
      <c r="K181" s="12" t="str">
        <f>IFERROR(__xludf.DUMMYFUNCTION("TEXTJOIN("""",TRUE, REGEXEXTRACT(J181, ""\d+""),""-"",LEFT(C181,3),""-"",LEFT(D181),""-"",LEFT(E181,2),LEFT(F181,2), ""-R"",REGEXEXTRACT(H181, ""\d+"") )"),"30-Act-L-1812-R2")</f>
        <v>30-Act-L-1812-R2</v>
      </c>
      <c r="L181" s="8" t="s">
        <v>27</v>
      </c>
      <c r="M181" s="13">
        <v>6.0</v>
      </c>
      <c r="N181" s="14">
        <v>1.14</v>
      </c>
      <c r="O181" s="19">
        <f>SUM(N176:N181)</f>
        <v>7.06</v>
      </c>
      <c r="P181" s="20">
        <f t="shared" si="2"/>
        <v>4.499681326</v>
      </c>
    </row>
    <row r="182">
      <c r="A182" s="6"/>
      <c r="B182" s="21"/>
      <c r="C182" s="48" t="s">
        <v>40</v>
      </c>
      <c r="D182" s="32" t="s">
        <v>32</v>
      </c>
      <c r="E182" s="29" t="s">
        <v>18</v>
      </c>
      <c r="F182" s="33" t="s">
        <v>19</v>
      </c>
      <c r="G182" s="30" t="str">
        <f t="shared" si="1"/>
        <v>16O_13C</v>
      </c>
      <c r="H182" s="45" t="s">
        <v>54</v>
      </c>
      <c r="I182" s="10">
        <v>31.0</v>
      </c>
      <c r="J182" s="11" t="s">
        <v>66</v>
      </c>
      <c r="K182" s="12" t="str">
        <f>IFERROR(__xludf.DUMMYFUNCTION("TEXTJOIN("""",TRUE, REGEXEXTRACT(J182, ""\d+""),""-"",LEFT(C182,3),""-"",LEFT(D182),""-"",LEFT(E182,2),LEFT(F182,2), ""-R"",REGEXEXTRACT(H182, ""\d+"") )"),"31-Act-E-1613-R2")</f>
        <v>31-Act-E-1613-R2</v>
      </c>
      <c r="L182" s="8" t="s">
        <v>22</v>
      </c>
      <c r="M182" s="13">
        <v>1.0</v>
      </c>
      <c r="N182" s="14">
        <v>1.18</v>
      </c>
      <c r="O182" s="15">
        <f>SUM(N182:N187)</f>
        <v>7.07</v>
      </c>
      <c r="P182" s="16">
        <f t="shared" si="2"/>
        <v>4.506054812</v>
      </c>
    </row>
    <row r="183">
      <c r="A183" s="17"/>
      <c r="B183" s="18"/>
      <c r="C183" s="48" t="s">
        <v>40</v>
      </c>
      <c r="D183" s="32" t="s">
        <v>32</v>
      </c>
      <c r="E183" s="29" t="s">
        <v>18</v>
      </c>
      <c r="F183" s="33" t="s">
        <v>19</v>
      </c>
      <c r="G183" s="30" t="str">
        <f t="shared" si="1"/>
        <v>16O_13C</v>
      </c>
      <c r="H183" s="45" t="s">
        <v>54</v>
      </c>
      <c r="I183" s="10">
        <v>31.0</v>
      </c>
      <c r="J183" s="11" t="s">
        <v>66</v>
      </c>
      <c r="K183" s="12" t="str">
        <f>IFERROR(__xludf.DUMMYFUNCTION("TEXTJOIN("""",TRUE, REGEXEXTRACT(J183, ""\d+""),""-"",LEFT(C183,3),""-"",LEFT(D183),""-"",LEFT(E183,2),LEFT(F183,2), ""-R"",REGEXEXTRACT(H183, ""\d+"") )"),"31-Act-E-1613-R2")</f>
        <v>31-Act-E-1613-R2</v>
      </c>
      <c r="L183" s="8" t="s">
        <v>23</v>
      </c>
      <c r="M183" s="13">
        <v>2.0</v>
      </c>
      <c r="N183" s="14">
        <v>1.15</v>
      </c>
      <c r="O183" s="19">
        <f>SUM(N182:N187)</f>
        <v>7.07</v>
      </c>
      <c r="P183" s="20">
        <f t="shared" si="2"/>
        <v>4.506054812</v>
      </c>
    </row>
    <row r="184">
      <c r="A184" s="6"/>
      <c r="B184" s="21"/>
      <c r="C184" s="48" t="s">
        <v>40</v>
      </c>
      <c r="D184" s="32" t="s">
        <v>32</v>
      </c>
      <c r="E184" s="29" t="s">
        <v>18</v>
      </c>
      <c r="F184" s="33" t="s">
        <v>19</v>
      </c>
      <c r="G184" s="30" t="str">
        <f t="shared" si="1"/>
        <v>16O_13C</v>
      </c>
      <c r="H184" s="45" t="s">
        <v>54</v>
      </c>
      <c r="I184" s="10">
        <v>31.0</v>
      </c>
      <c r="J184" s="11" t="s">
        <v>66</v>
      </c>
      <c r="K184" s="12" t="str">
        <f>IFERROR(__xludf.DUMMYFUNCTION("TEXTJOIN("""",TRUE, REGEXEXTRACT(J184, ""\d+""),""-"",LEFT(C184,3),""-"",LEFT(D184),""-"",LEFT(E184,2),LEFT(F184,2), ""-R"",REGEXEXTRACT(H184, ""\d+"") )"),"31-Act-E-1613-R2")</f>
        <v>31-Act-E-1613-R2</v>
      </c>
      <c r="L184" s="8" t="s">
        <v>24</v>
      </c>
      <c r="M184" s="13">
        <v>3.0</v>
      </c>
      <c r="N184" s="14">
        <v>1.2</v>
      </c>
      <c r="O184" s="15">
        <f>SUM(N182:N187)</f>
        <v>7.07</v>
      </c>
      <c r="P184" s="16">
        <f t="shared" si="2"/>
        <v>4.506054812</v>
      </c>
    </row>
    <row r="185">
      <c r="A185" s="17"/>
      <c r="B185" s="18"/>
      <c r="C185" s="48" t="s">
        <v>40</v>
      </c>
      <c r="D185" s="32" t="s">
        <v>32</v>
      </c>
      <c r="E185" s="29" t="s">
        <v>18</v>
      </c>
      <c r="F185" s="33" t="s">
        <v>19</v>
      </c>
      <c r="G185" s="30" t="str">
        <f t="shared" si="1"/>
        <v>16O_13C</v>
      </c>
      <c r="H185" s="45" t="s">
        <v>54</v>
      </c>
      <c r="I185" s="10">
        <v>31.0</v>
      </c>
      <c r="J185" s="11" t="s">
        <v>66</v>
      </c>
      <c r="K185" s="12" t="str">
        <f>IFERROR(__xludf.DUMMYFUNCTION("TEXTJOIN("""",TRUE, REGEXEXTRACT(J185, ""\d+""),""-"",LEFT(C185,3),""-"",LEFT(D185),""-"",LEFT(E185,2),LEFT(F185,2), ""-R"",REGEXEXTRACT(H185, ""\d+"") )"),"31-Act-E-1613-R2")</f>
        <v>31-Act-E-1613-R2</v>
      </c>
      <c r="L185" s="8" t="s">
        <v>25</v>
      </c>
      <c r="M185" s="13">
        <v>4.0</v>
      </c>
      <c r="N185" s="14">
        <v>1.14</v>
      </c>
      <c r="O185" s="19">
        <f>SUM(N182:N187)</f>
        <v>7.07</v>
      </c>
      <c r="P185" s="20">
        <f t="shared" si="2"/>
        <v>4.506054812</v>
      </c>
    </row>
    <row r="186">
      <c r="A186" s="6"/>
      <c r="B186" s="21"/>
      <c r="C186" s="48" t="s">
        <v>40</v>
      </c>
      <c r="D186" s="32" t="s">
        <v>32</v>
      </c>
      <c r="E186" s="29" t="s">
        <v>18</v>
      </c>
      <c r="F186" s="33" t="s">
        <v>19</v>
      </c>
      <c r="G186" s="30" t="str">
        <f t="shared" si="1"/>
        <v>16O_13C</v>
      </c>
      <c r="H186" s="45" t="s">
        <v>54</v>
      </c>
      <c r="I186" s="10">
        <v>31.0</v>
      </c>
      <c r="J186" s="11" t="s">
        <v>66</v>
      </c>
      <c r="K186" s="12" t="str">
        <f>IFERROR(__xludf.DUMMYFUNCTION("TEXTJOIN("""",TRUE, REGEXEXTRACT(J186, ""\d+""),""-"",LEFT(C186,3),""-"",LEFT(D186),""-"",LEFT(E186,2),LEFT(F186,2), ""-R"",REGEXEXTRACT(H186, ""\d+"") )"),"31-Act-E-1613-R2")</f>
        <v>31-Act-E-1613-R2</v>
      </c>
      <c r="L186" s="8" t="s">
        <v>26</v>
      </c>
      <c r="M186" s="13">
        <v>5.0</v>
      </c>
      <c r="N186" s="14">
        <v>1.21</v>
      </c>
      <c r="O186" s="15">
        <f>SUM(N182:N187)</f>
        <v>7.07</v>
      </c>
      <c r="P186" s="16">
        <f t="shared" si="2"/>
        <v>4.506054812</v>
      </c>
    </row>
    <row r="187">
      <c r="A187" s="17"/>
      <c r="B187" s="18"/>
      <c r="C187" s="48" t="s">
        <v>40</v>
      </c>
      <c r="D187" s="32" t="s">
        <v>32</v>
      </c>
      <c r="E187" s="29" t="s">
        <v>18</v>
      </c>
      <c r="F187" s="33" t="s">
        <v>19</v>
      </c>
      <c r="G187" s="30" t="str">
        <f t="shared" si="1"/>
        <v>16O_13C</v>
      </c>
      <c r="H187" s="45" t="s">
        <v>54</v>
      </c>
      <c r="I187" s="10">
        <v>31.0</v>
      </c>
      <c r="J187" s="11" t="s">
        <v>66</v>
      </c>
      <c r="K187" s="12" t="str">
        <f>IFERROR(__xludf.DUMMYFUNCTION("TEXTJOIN("""",TRUE, REGEXEXTRACT(J187, ""\d+""),""-"",LEFT(C187,3),""-"",LEFT(D187),""-"",LEFT(E187,2),LEFT(F187,2), ""-R"",REGEXEXTRACT(H187, ""\d+"") )"),"31-Act-E-1613-R2")</f>
        <v>31-Act-E-1613-R2</v>
      </c>
      <c r="L187" s="8" t="s">
        <v>27</v>
      </c>
      <c r="M187" s="13">
        <v>6.0</v>
      </c>
      <c r="N187" s="14">
        <v>1.19</v>
      </c>
      <c r="O187" s="19">
        <f>SUM(N182:N187)</f>
        <v>7.07</v>
      </c>
      <c r="P187" s="20">
        <f t="shared" si="2"/>
        <v>4.506054812</v>
      </c>
    </row>
    <row r="188">
      <c r="A188" s="6"/>
      <c r="B188" s="21"/>
      <c r="C188" s="47" t="s">
        <v>40</v>
      </c>
      <c r="D188" s="35" t="s">
        <v>32</v>
      </c>
      <c r="E188" s="24" t="s">
        <v>18</v>
      </c>
      <c r="F188" s="24" t="s">
        <v>28</v>
      </c>
      <c r="G188" s="26" t="str">
        <f t="shared" si="1"/>
        <v>16O_12C</v>
      </c>
      <c r="H188" s="45" t="s">
        <v>54</v>
      </c>
      <c r="I188" s="10">
        <v>32.0</v>
      </c>
      <c r="J188" s="11" t="s">
        <v>67</v>
      </c>
      <c r="K188" s="12" t="str">
        <f>IFERROR(__xludf.DUMMYFUNCTION("TEXTJOIN("""",TRUE, REGEXEXTRACT(J188, ""\d+""),""-"",LEFT(C188,3),""-"",LEFT(D188),""-"",LEFT(E188,2),LEFT(F188,2), ""-R"",REGEXEXTRACT(H188, ""\d+"") )"),"32-Act-E-1612-R2")</f>
        <v>32-Act-E-1612-R2</v>
      </c>
      <c r="L188" s="8" t="s">
        <v>22</v>
      </c>
      <c r="M188" s="13">
        <v>1.0</v>
      </c>
      <c r="N188" s="14">
        <v>1.12</v>
      </c>
      <c r="O188" s="15">
        <f>SUM(N188:N193)</f>
        <v>6.84</v>
      </c>
      <c r="P188" s="16">
        <f t="shared" si="2"/>
        <v>4.359464627</v>
      </c>
    </row>
    <row r="189">
      <c r="A189" s="17"/>
      <c r="B189" s="18"/>
      <c r="C189" s="47" t="s">
        <v>40</v>
      </c>
      <c r="D189" s="35" t="s">
        <v>32</v>
      </c>
      <c r="E189" s="24" t="s">
        <v>18</v>
      </c>
      <c r="F189" s="24" t="s">
        <v>28</v>
      </c>
      <c r="G189" s="26" t="str">
        <f t="shared" si="1"/>
        <v>16O_12C</v>
      </c>
      <c r="H189" s="45" t="s">
        <v>54</v>
      </c>
      <c r="I189" s="10">
        <v>32.0</v>
      </c>
      <c r="J189" s="11" t="s">
        <v>67</v>
      </c>
      <c r="K189" s="12" t="str">
        <f>IFERROR(__xludf.DUMMYFUNCTION("TEXTJOIN("""",TRUE, REGEXEXTRACT(J189, ""\d+""),""-"",LEFT(C189,3),""-"",LEFT(D189),""-"",LEFT(E189,2),LEFT(F189,2), ""-R"",REGEXEXTRACT(H189, ""\d+"") )"),"32-Act-E-1612-R2")</f>
        <v>32-Act-E-1612-R2</v>
      </c>
      <c r="L189" s="8" t="s">
        <v>23</v>
      </c>
      <c r="M189" s="13">
        <v>2.0</v>
      </c>
      <c r="N189" s="14">
        <v>1.1</v>
      </c>
      <c r="O189" s="19">
        <f>SUM(N188:N193)</f>
        <v>6.84</v>
      </c>
      <c r="P189" s="20">
        <f t="shared" si="2"/>
        <v>4.359464627</v>
      </c>
    </row>
    <row r="190">
      <c r="A190" s="6"/>
      <c r="B190" s="21"/>
      <c r="C190" s="47" t="s">
        <v>40</v>
      </c>
      <c r="D190" s="35" t="s">
        <v>32</v>
      </c>
      <c r="E190" s="24" t="s">
        <v>18</v>
      </c>
      <c r="F190" s="24" t="s">
        <v>28</v>
      </c>
      <c r="G190" s="26" t="str">
        <f t="shared" si="1"/>
        <v>16O_12C</v>
      </c>
      <c r="H190" s="45" t="s">
        <v>54</v>
      </c>
      <c r="I190" s="10">
        <v>32.0</v>
      </c>
      <c r="J190" s="11" t="s">
        <v>67</v>
      </c>
      <c r="K190" s="12" t="str">
        <f>IFERROR(__xludf.DUMMYFUNCTION("TEXTJOIN("""",TRUE, REGEXEXTRACT(J190, ""\d+""),""-"",LEFT(C190,3),""-"",LEFT(D190),""-"",LEFT(E190,2),LEFT(F190,2), ""-R"",REGEXEXTRACT(H190, ""\d+"") )"),"32-Act-E-1612-R2")</f>
        <v>32-Act-E-1612-R2</v>
      </c>
      <c r="L190" s="8" t="s">
        <v>24</v>
      </c>
      <c r="M190" s="13">
        <v>3.0</v>
      </c>
      <c r="N190" s="14">
        <v>1.1</v>
      </c>
      <c r="O190" s="15">
        <f>SUM(N188:N193)</f>
        <v>6.84</v>
      </c>
      <c r="P190" s="16">
        <f t="shared" si="2"/>
        <v>4.359464627</v>
      </c>
    </row>
    <row r="191">
      <c r="A191" s="17"/>
      <c r="B191" s="18"/>
      <c r="C191" s="47" t="s">
        <v>40</v>
      </c>
      <c r="D191" s="35" t="s">
        <v>32</v>
      </c>
      <c r="E191" s="24" t="s">
        <v>18</v>
      </c>
      <c r="F191" s="24" t="s">
        <v>28</v>
      </c>
      <c r="G191" s="26" t="str">
        <f t="shared" si="1"/>
        <v>16O_12C</v>
      </c>
      <c r="H191" s="45" t="s">
        <v>54</v>
      </c>
      <c r="I191" s="10">
        <v>32.0</v>
      </c>
      <c r="J191" s="11" t="s">
        <v>67</v>
      </c>
      <c r="K191" s="12" t="str">
        <f>IFERROR(__xludf.DUMMYFUNCTION("TEXTJOIN("""",TRUE, REGEXEXTRACT(J191, ""\d+""),""-"",LEFT(C191,3),""-"",LEFT(D191),""-"",LEFT(E191,2),LEFT(F191,2), ""-R"",REGEXEXTRACT(H191, ""\d+"") )"),"32-Act-E-1612-R2")</f>
        <v>32-Act-E-1612-R2</v>
      </c>
      <c r="L191" s="8" t="s">
        <v>25</v>
      </c>
      <c r="M191" s="13">
        <v>4.0</v>
      </c>
      <c r="N191" s="14">
        <v>1.15</v>
      </c>
      <c r="O191" s="19">
        <f>SUM(N188:N193)</f>
        <v>6.84</v>
      </c>
      <c r="P191" s="20">
        <f t="shared" si="2"/>
        <v>4.359464627</v>
      </c>
    </row>
    <row r="192">
      <c r="A192" s="6"/>
      <c r="B192" s="21"/>
      <c r="C192" s="47" t="s">
        <v>40</v>
      </c>
      <c r="D192" s="35" t="s">
        <v>32</v>
      </c>
      <c r="E192" s="24" t="s">
        <v>18</v>
      </c>
      <c r="F192" s="24" t="s">
        <v>28</v>
      </c>
      <c r="G192" s="26" t="str">
        <f t="shared" si="1"/>
        <v>16O_12C</v>
      </c>
      <c r="H192" s="45" t="s">
        <v>54</v>
      </c>
      <c r="I192" s="10">
        <v>32.0</v>
      </c>
      <c r="J192" s="11" t="s">
        <v>67</v>
      </c>
      <c r="K192" s="12" t="str">
        <f>IFERROR(__xludf.DUMMYFUNCTION("TEXTJOIN("""",TRUE, REGEXEXTRACT(J192, ""\d+""),""-"",LEFT(C192,3),""-"",LEFT(D192),""-"",LEFT(E192,2),LEFT(F192,2), ""-R"",REGEXEXTRACT(H192, ""\d+"") )"),"32-Act-E-1612-R2")</f>
        <v>32-Act-E-1612-R2</v>
      </c>
      <c r="L192" s="8" t="s">
        <v>26</v>
      </c>
      <c r="M192" s="13">
        <v>5.0</v>
      </c>
      <c r="N192" s="14">
        <v>1.19</v>
      </c>
      <c r="O192" s="15">
        <f>SUM(N188:N193)</f>
        <v>6.84</v>
      </c>
      <c r="P192" s="16">
        <f t="shared" si="2"/>
        <v>4.359464627</v>
      </c>
    </row>
    <row r="193">
      <c r="A193" s="17"/>
      <c r="B193" s="18"/>
      <c r="C193" s="47" t="s">
        <v>40</v>
      </c>
      <c r="D193" s="35" t="s">
        <v>32</v>
      </c>
      <c r="E193" s="24" t="s">
        <v>18</v>
      </c>
      <c r="F193" s="24" t="s">
        <v>28</v>
      </c>
      <c r="G193" s="26" t="str">
        <f t="shared" si="1"/>
        <v>16O_12C</v>
      </c>
      <c r="H193" s="45" t="s">
        <v>54</v>
      </c>
      <c r="I193" s="10">
        <v>32.0</v>
      </c>
      <c r="J193" s="11" t="s">
        <v>67</v>
      </c>
      <c r="K193" s="12" t="str">
        <f>IFERROR(__xludf.DUMMYFUNCTION("TEXTJOIN("""",TRUE, REGEXEXTRACT(J193, ""\d+""),""-"",LEFT(C193,3),""-"",LEFT(D193),""-"",LEFT(E193,2),LEFT(F193,2), ""-R"",REGEXEXTRACT(H193, ""\d+"") )"),"32-Act-E-1612-R2")</f>
        <v>32-Act-E-1612-R2</v>
      </c>
      <c r="L193" s="8" t="s">
        <v>27</v>
      </c>
      <c r="M193" s="13">
        <v>6.0</v>
      </c>
      <c r="N193" s="14">
        <v>1.18</v>
      </c>
      <c r="O193" s="19">
        <f>SUM(N188:N193)</f>
        <v>6.84</v>
      </c>
      <c r="P193" s="20">
        <f t="shared" si="2"/>
        <v>4.359464627</v>
      </c>
    </row>
    <row r="194">
      <c r="A194" s="6"/>
      <c r="B194" s="21"/>
      <c r="C194" s="48" t="s">
        <v>40</v>
      </c>
      <c r="D194" s="32" t="s">
        <v>32</v>
      </c>
      <c r="E194" s="33" t="s">
        <v>30</v>
      </c>
      <c r="F194" s="29" t="s">
        <v>28</v>
      </c>
      <c r="G194" s="30" t="str">
        <f t="shared" si="1"/>
        <v>18O_12C</v>
      </c>
      <c r="H194" s="45" t="s">
        <v>54</v>
      </c>
      <c r="I194" s="10">
        <v>33.0</v>
      </c>
      <c r="J194" s="11" t="s">
        <v>68</v>
      </c>
      <c r="K194" s="12" t="str">
        <f>IFERROR(__xludf.DUMMYFUNCTION("TEXTJOIN("""",TRUE, REGEXEXTRACT(J194, ""\d+""),""-"",LEFT(C194,3),""-"",LEFT(D194),""-"",LEFT(E194,2),LEFT(F194,2), ""-R"",REGEXEXTRACT(H194, ""\d+"") )"),"33-Act-E-1812-R2")</f>
        <v>33-Act-E-1812-R2</v>
      </c>
      <c r="L194" s="8" t="s">
        <v>22</v>
      </c>
      <c r="M194" s="13">
        <v>1.0</v>
      </c>
      <c r="N194" s="14">
        <v>1.93</v>
      </c>
      <c r="O194" s="15">
        <f>SUM(N194:N199)</f>
        <v>11.61</v>
      </c>
      <c r="P194" s="16">
        <f t="shared" si="2"/>
        <v>7.399617591</v>
      </c>
    </row>
    <row r="195">
      <c r="A195" s="17"/>
      <c r="B195" s="18"/>
      <c r="C195" s="48" t="s">
        <v>40</v>
      </c>
      <c r="D195" s="32" t="s">
        <v>32</v>
      </c>
      <c r="E195" s="33" t="s">
        <v>30</v>
      </c>
      <c r="F195" s="29" t="s">
        <v>28</v>
      </c>
      <c r="G195" s="30" t="str">
        <f t="shared" si="1"/>
        <v>18O_12C</v>
      </c>
      <c r="H195" s="45" t="s">
        <v>54</v>
      </c>
      <c r="I195" s="10">
        <v>33.0</v>
      </c>
      <c r="J195" s="11" t="s">
        <v>68</v>
      </c>
      <c r="K195" s="12" t="str">
        <f>IFERROR(__xludf.DUMMYFUNCTION("TEXTJOIN("""",TRUE, REGEXEXTRACT(J195, ""\d+""),""-"",LEFT(C195,3),""-"",LEFT(D195),""-"",LEFT(E195,2),LEFT(F195,2), ""-R"",REGEXEXTRACT(H195, ""\d+"") )"),"33-Act-E-1812-R2")</f>
        <v>33-Act-E-1812-R2</v>
      </c>
      <c r="L195" s="8" t="s">
        <v>23</v>
      </c>
      <c r="M195" s="13">
        <v>2.0</v>
      </c>
      <c r="N195" s="14">
        <v>1.96</v>
      </c>
      <c r="O195" s="19">
        <f>SUM(N194:N199)</f>
        <v>11.61</v>
      </c>
      <c r="P195" s="20">
        <f t="shared" si="2"/>
        <v>7.399617591</v>
      </c>
    </row>
    <row r="196">
      <c r="A196" s="6"/>
      <c r="B196" s="21"/>
      <c r="C196" s="48" t="s">
        <v>40</v>
      </c>
      <c r="D196" s="32" t="s">
        <v>32</v>
      </c>
      <c r="E196" s="33" t="s">
        <v>30</v>
      </c>
      <c r="F196" s="29" t="s">
        <v>28</v>
      </c>
      <c r="G196" s="30" t="str">
        <f t="shared" si="1"/>
        <v>18O_12C</v>
      </c>
      <c r="H196" s="45" t="s">
        <v>54</v>
      </c>
      <c r="I196" s="10">
        <v>33.0</v>
      </c>
      <c r="J196" s="11" t="s">
        <v>68</v>
      </c>
      <c r="K196" s="12" t="str">
        <f>IFERROR(__xludf.DUMMYFUNCTION("TEXTJOIN("""",TRUE, REGEXEXTRACT(J196, ""\d+""),""-"",LEFT(C196,3),""-"",LEFT(D196),""-"",LEFT(E196,2),LEFT(F196,2), ""-R"",REGEXEXTRACT(H196, ""\d+"") )"),"33-Act-E-1812-R2")</f>
        <v>33-Act-E-1812-R2</v>
      </c>
      <c r="L196" s="8" t="s">
        <v>24</v>
      </c>
      <c r="M196" s="13">
        <v>3.0</v>
      </c>
      <c r="N196" s="14">
        <v>1.94</v>
      </c>
      <c r="O196" s="15">
        <f>SUM(N194:N199)</f>
        <v>11.61</v>
      </c>
      <c r="P196" s="16">
        <f t="shared" si="2"/>
        <v>7.399617591</v>
      </c>
    </row>
    <row r="197">
      <c r="A197" s="17"/>
      <c r="B197" s="18"/>
      <c r="C197" s="48" t="s">
        <v>40</v>
      </c>
      <c r="D197" s="32" t="s">
        <v>32</v>
      </c>
      <c r="E197" s="33" t="s">
        <v>30</v>
      </c>
      <c r="F197" s="29" t="s">
        <v>28</v>
      </c>
      <c r="G197" s="30" t="str">
        <f t="shared" si="1"/>
        <v>18O_12C</v>
      </c>
      <c r="H197" s="45" t="s">
        <v>54</v>
      </c>
      <c r="I197" s="10">
        <v>33.0</v>
      </c>
      <c r="J197" s="11" t="s">
        <v>68</v>
      </c>
      <c r="K197" s="12" t="str">
        <f>IFERROR(__xludf.DUMMYFUNCTION("TEXTJOIN("""",TRUE, REGEXEXTRACT(J197, ""\d+""),""-"",LEFT(C197,3),""-"",LEFT(D197),""-"",LEFT(E197,2),LEFT(F197,2), ""-R"",REGEXEXTRACT(H197, ""\d+"") )"),"33-Act-E-1812-R2")</f>
        <v>33-Act-E-1812-R2</v>
      </c>
      <c r="L197" s="8" t="s">
        <v>25</v>
      </c>
      <c r="M197" s="13">
        <v>4.0</v>
      </c>
      <c r="N197" s="14">
        <v>1.93</v>
      </c>
      <c r="O197" s="19">
        <f>SUM(N194:N199)</f>
        <v>11.61</v>
      </c>
      <c r="P197" s="20">
        <f t="shared" si="2"/>
        <v>7.399617591</v>
      </c>
    </row>
    <row r="198">
      <c r="A198" s="6"/>
      <c r="B198" s="21"/>
      <c r="C198" s="48" t="s">
        <v>40</v>
      </c>
      <c r="D198" s="32" t="s">
        <v>32</v>
      </c>
      <c r="E198" s="33" t="s">
        <v>30</v>
      </c>
      <c r="F198" s="29" t="s">
        <v>28</v>
      </c>
      <c r="G198" s="30" t="str">
        <f t="shared" si="1"/>
        <v>18O_12C</v>
      </c>
      <c r="H198" s="45" t="s">
        <v>54</v>
      </c>
      <c r="I198" s="10">
        <v>33.0</v>
      </c>
      <c r="J198" s="11" t="s">
        <v>68</v>
      </c>
      <c r="K198" s="12" t="str">
        <f>IFERROR(__xludf.DUMMYFUNCTION("TEXTJOIN("""",TRUE, REGEXEXTRACT(J198, ""\d+""),""-"",LEFT(C198,3),""-"",LEFT(D198),""-"",LEFT(E198,2),LEFT(F198,2), ""-R"",REGEXEXTRACT(H198, ""\d+"") )"),"33-Act-E-1812-R2")</f>
        <v>33-Act-E-1812-R2</v>
      </c>
      <c r="L198" s="8" t="s">
        <v>26</v>
      </c>
      <c r="M198" s="13">
        <v>5.0</v>
      </c>
      <c r="N198" s="14">
        <v>1.92</v>
      </c>
      <c r="O198" s="15">
        <f>SUM(N194:N199)</f>
        <v>11.61</v>
      </c>
      <c r="P198" s="16">
        <f t="shared" si="2"/>
        <v>7.399617591</v>
      </c>
    </row>
    <row r="199">
      <c r="A199" s="17"/>
      <c r="B199" s="18"/>
      <c r="C199" s="48" t="s">
        <v>40</v>
      </c>
      <c r="D199" s="32" t="s">
        <v>32</v>
      </c>
      <c r="E199" s="33" t="s">
        <v>30</v>
      </c>
      <c r="F199" s="29" t="s">
        <v>28</v>
      </c>
      <c r="G199" s="30" t="str">
        <f t="shared" si="1"/>
        <v>18O_12C</v>
      </c>
      <c r="H199" s="45" t="s">
        <v>54</v>
      </c>
      <c r="I199" s="10">
        <v>33.0</v>
      </c>
      <c r="J199" s="11" t="s">
        <v>68</v>
      </c>
      <c r="K199" s="12" t="str">
        <f>IFERROR(__xludf.DUMMYFUNCTION("TEXTJOIN("""",TRUE, REGEXEXTRACT(J199, ""\d+""),""-"",LEFT(C199,3),""-"",LEFT(D199),""-"",LEFT(E199,2),LEFT(F199,2), ""-R"",REGEXEXTRACT(H199, ""\d+"") )"),"33-Act-E-1812-R2")</f>
        <v>33-Act-E-1812-R2</v>
      </c>
      <c r="L199" s="8" t="s">
        <v>27</v>
      </c>
      <c r="M199" s="13">
        <v>6.0</v>
      </c>
      <c r="N199" s="14">
        <v>1.93</v>
      </c>
      <c r="O199" s="19">
        <f>SUM(N194:N199)</f>
        <v>11.61</v>
      </c>
      <c r="P199" s="20">
        <f t="shared" si="2"/>
        <v>7.399617591</v>
      </c>
    </row>
    <row r="200">
      <c r="A200" s="6"/>
      <c r="B200" s="21"/>
      <c r="C200" s="47" t="s">
        <v>40</v>
      </c>
      <c r="D200" s="36" t="s">
        <v>36</v>
      </c>
      <c r="E200" s="24" t="s">
        <v>18</v>
      </c>
      <c r="F200" s="37" t="s">
        <v>37</v>
      </c>
      <c r="G200" s="26" t="str">
        <f t="shared" si="1"/>
        <v>16O_No C</v>
      </c>
      <c r="H200" s="45" t="s">
        <v>54</v>
      </c>
      <c r="I200" s="10">
        <v>34.0</v>
      </c>
      <c r="J200" s="11" t="s">
        <v>69</v>
      </c>
      <c r="K200" s="12" t="str">
        <f>IFERROR(__xludf.DUMMYFUNCTION("TEXTJOIN("""",TRUE, REGEXEXTRACT(J200, ""\d+""),""-"",LEFT(C200,3),""-"",LEFT(D200),""-"",LEFT(E200,2),LEFT(F200,2), ""-R"",REGEXEXTRACT(H200, ""\d+"") )"),"34-Act-N-16No-R2")</f>
        <v>34-Act-N-16No-R2</v>
      </c>
      <c r="L200" s="8" t="s">
        <v>22</v>
      </c>
      <c r="M200" s="13">
        <v>1.0</v>
      </c>
      <c r="N200" s="14">
        <v>1.12</v>
      </c>
      <c r="O200" s="15">
        <f>SUM(N200:N205)</f>
        <v>6.98</v>
      </c>
      <c r="P200" s="16">
        <f t="shared" si="2"/>
        <v>4.448693435</v>
      </c>
    </row>
    <row r="201">
      <c r="A201" s="17"/>
      <c r="B201" s="18"/>
      <c r="C201" s="47" t="s">
        <v>40</v>
      </c>
      <c r="D201" s="36" t="s">
        <v>36</v>
      </c>
      <c r="E201" s="24" t="s">
        <v>18</v>
      </c>
      <c r="F201" s="37" t="s">
        <v>37</v>
      </c>
      <c r="G201" s="26" t="str">
        <f t="shared" si="1"/>
        <v>16O_No C</v>
      </c>
      <c r="H201" s="45" t="s">
        <v>54</v>
      </c>
      <c r="I201" s="10">
        <v>34.0</v>
      </c>
      <c r="J201" s="11" t="s">
        <v>69</v>
      </c>
      <c r="K201" s="12" t="str">
        <f>IFERROR(__xludf.DUMMYFUNCTION("TEXTJOIN("""",TRUE, REGEXEXTRACT(J201, ""\d+""),""-"",LEFT(C201,3),""-"",LEFT(D201),""-"",LEFT(E201,2),LEFT(F201,2), ""-R"",REGEXEXTRACT(H201, ""\d+"") )"),"34-Act-N-16No-R2")</f>
        <v>34-Act-N-16No-R2</v>
      </c>
      <c r="L201" s="8" t="s">
        <v>23</v>
      </c>
      <c r="M201" s="13">
        <v>2.0</v>
      </c>
      <c r="N201" s="14">
        <v>1.14</v>
      </c>
      <c r="O201" s="19">
        <f>SUM(N200:N205)</f>
        <v>6.98</v>
      </c>
      <c r="P201" s="20">
        <f t="shared" si="2"/>
        <v>4.448693435</v>
      </c>
    </row>
    <row r="202">
      <c r="A202" s="6"/>
      <c r="B202" s="21"/>
      <c r="C202" s="47" t="s">
        <v>40</v>
      </c>
      <c r="D202" s="36" t="s">
        <v>36</v>
      </c>
      <c r="E202" s="24" t="s">
        <v>18</v>
      </c>
      <c r="F202" s="37" t="s">
        <v>37</v>
      </c>
      <c r="G202" s="26" t="str">
        <f t="shared" si="1"/>
        <v>16O_No C</v>
      </c>
      <c r="H202" s="45" t="s">
        <v>54</v>
      </c>
      <c r="I202" s="10">
        <v>34.0</v>
      </c>
      <c r="J202" s="11" t="s">
        <v>69</v>
      </c>
      <c r="K202" s="12" t="str">
        <f>IFERROR(__xludf.DUMMYFUNCTION("TEXTJOIN("""",TRUE, REGEXEXTRACT(J202, ""\d+""),""-"",LEFT(C202,3),""-"",LEFT(D202),""-"",LEFT(E202,2),LEFT(F202,2), ""-R"",REGEXEXTRACT(H202, ""\d+"") )"),"34-Act-N-16No-R2")</f>
        <v>34-Act-N-16No-R2</v>
      </c>
      <c r="L202" s="8" t="s">
        <v>24</v>
      </c>
      <c r="M202" s="13">
        <v>3.0</v>
      </c>
      <c r="N202" s="14">
        <v>1.17</v>
      </c>
      <c r="O202" s="15">
        <f>SUM(N200:N205)</f>
        <v>6.98</v>
      </c>
      <c r="P202" s="16">
        <f t="shared" si="2"/>
        <v>4.448693435</v>
      </c>
    </row>
    <row r="203">
      <c r="A203" s="17"/>
      <c r="B203" s="18"/>
      <c r="C203" s="47" t="s">
        <v>40</v>
      </c>
      <c r="D203" s="36" t="s">
        <v>36</v>
      </c>
      <c r="E203" s="24" t="s">
        <v>18</v>
      </c>
      <c r="F203" s="37" t="s">
        <v>37</v>
      </c>
      <c r="G203" s="26" t="str">
        <f t="shared" si="1"/>
        <v>16O_No C</v>
      </c>
      <c r="H203" s="45" t="s">
        <v>54</v>
      </c>
      <c r="I203" s="10">
        <v>34.0</v>
      </c>
      <c r="J203" s="11" t="s">
        <v>69</v>
      </c>
      <c r="K203" s="12" t="str">
        <f>IFERROR(__xludf.DUMMYFUNCTION("TEXTJOIN("""",TRUE, REGEXEXTRACT(J203, ""\d+""),""-"",LEFT(C203,3),""-"",LEFT(D203),""-"",LEFT(E203,2),LEFT(F203,2), ""-R"",REGEXEXTRACT(H203, ""\d+"") )"),"34-Act-N-16No-R2")</f>
        <v>34-Act-N-16No-R2</v>
      </c>
      <c r="L203" s="8" t="s">
        <v>25</v>
      </c>
      <c r="M203" s="13">
        <v>4.0</v>
      </c>
      <c r="N203" s="14">
        <v>1.18</v>
      </c>
      <c r="O203" s="19">
        <f>SUM(N200:N205)</f>
        <v>6.98</v>
      </c>
      <c r="P203" s="20">
        <f t="shared" si="2"/>
        <v>4.448693435</v>
      </c>
    </row>
    <row r="204">
      <c r="A204" s="6"/>
      <c r="B204" s="21"/>
      <c r="C204" s="47" t="s">
        <v>40</v>
      </c>
      <c r="D204" s="36" t="s">
        <v>36</v>
      </c>
      <c r="E204" s="24" t="s">
        <v>18</v>
      </c>
      <c r="F204" s="37" t="s">
        <v>37</v>
      </c>
      <c r="G204" s="26" t="str">
        <f t="shared" si="1"/>
        <v>16O_No C</v>
      </c>
      <c r="H204" s="45" t="s">
        <v>54</v>
      </c>
      <c r="I204" s="10">
        <v>34.0</v>
      </c>
      <c r="J204" s="11" t="s">
        <v>69</v>
      </c>
      <c r="K204" s="12" t="str">
        <f>IFERROR(__xludf.DUMMYFUNCTION("TEXTJOIN("""",TRUE, REGEXEXTRACT(J204, ""\d+""),""-"",LEFT(C204,3),""-"",LEFT(D204),""-"",LEFT(E204,2),LEFT(F204,2), ""-R"",REGEXEXTRACT(H204, ""\d+"") )"),"34-Act-N-16No-R2")</f>
        <v>34-Act-N-16No-R2</v>
      </c>
      <c r="L204" s="8" t="s">
        <v>26</v>
      </c>
      <c r="M204" s="13">
        <v>5.0</v>
      </c>
      <c r="N204" s="14">
        <v>1.17</v>
      </c>
      <c r="O204" s="15">
        <f>SUM(N200:N205)</f>
        <v>6.98</v>
      </c>
      <c r="P204" s="16">
        <f t="shared" si="2"/>
        <v>4.448693435</v>
      </c>
    </row>
    <row r="205">
      <c r="A205" s="17"/>
      <c r="B205" s="18"/>
      <c r="C205" s="47" t="s">
        <v>40</v>
      </c>
      <c r="D205" s="36" t="s">
        <v>36</v>
      </c>
      <c r="E205" s="24" t="s">
        <v>18</v>
      </c>
      <c r="F205" s="37" t="s">
        <v>37</v>
      </c>
      <c r="G205" s="26" t="str">
        <f t="shared" si="1"/>
        <v>16O_No C</v>
      </c>
      <c r="H205" s="45" t="s">
        <v>54</v>
      </c>
      <c r="I205" s="10">
        <v>34.0</v>
      </c>
      <c r="J205" s="11" t="s">
        <v>69</v>
      </c>
      <c r="K205" s="12" t="str">
        <f>IFERROR(__xludf.DUMMYFUNCTION("TEXTJOIN("""",TRUE, REGEXEXTRACT(J205, ""\d+""),""-"",LEFT(C205,3),""-"",LEFT(D205),""-"",LEFT(E205,2),LEFT(F205,2), ""-R"",REGEXEXTRACT(H205, ""\d+"") )"),"34-Act-N-16No-R2")</f>
        <v>34-Act-N-16No-R2</v>
      </c>
      <c r="L205" s="8" t="s">
        <v>27</v>
      </c>
      <c r="M205" s="13">
        <v>6.0</v>
      </c>
      <c r="N205" s="14">
        <f>2.37-1.17</f>
        <v>1.2</v>
      </c>
      <c r="O205" s="19">
        <f>SUM(N200:N205)</f>
        <v>6.98</v>
      </c>
      <c r="P205" s="20">
        <f t="shared" si="2"/>
        <v>4.448693435</v>
      </c>
    </row>
    <row r="206">
      <c r="A206" s="6"/>
      <c r="B206" s="21"/>
      <c r="C206" s="48" t="s">
        <v>40</v>
      </c>
      <c r="D206" s="38" t="s">
        <v>36</v>
      </c>
      <c r="E206" s="33" t="s">
        <v>30</v>
      </c>
      <c r="F206" s="39" t="s">
        <v>37</v>
      </c>
      <c r="G206" s="30" t="str">
        <f t="shared" si="1"/>
        <v>18O_No C</v>
      </c>
      <c r="H206" s="45" t="s">
        <v>54</v>
      </c>
      <c r="I206" s="10">
        <v>35.0</v>
      </c>
      <c r="J206" s="11" t="s">
        <v>70</v>
      </c>
      <c r="K206" s="12" t="str">
        <f>IFERROR(__xludf.DUMMYFUNCTION("TEXTJOIN("""",TRUE, REGEXEXTRACT(J206, ""\d+""),""-"",LEFT(C206,3),""-"",LEFT(D206),""-"",LEFT(E206,2),LEFT(F206,2), ""-R"",REGEXEXTRACT(H206, ""\d+"") )"),"35-Act-N-18No-R2")</f>
        <v>35-Act-N-18No-R2</v>
      </c>
      <c r="L206" s="8" t="s">
        <v>22</v>
      </c>
      <c r="M206" s="13">
        <v>1.0</v>
      </c>
      <c r="N206" s="14">
        <v>1.12</v>
      </c>
      <c r="O206" s="15">
        <f>SUM(N206:N211)</f>
        <v>7.12</v>
      </c>
      <c r="P206" s="16">
        <f t="shared" si="2"/>
        <v>4.537922243</v>
      </c>
    </row>
    <row r="207">
      <c r="A207" s="17"/>
      <c r="B207" s="18"/>
      <c r="C207" s="48" t="s">
        <v>40</v>
      </c>
      <c r="D207" s="38" t="s">
        <v>36</v>
      </c>
      <c r="E207" s="33" t="s">
        <v>30</v>
      </c>
      <c r="F207" s="39" t="s">
        <v>37</v>
      </c>
      <c r="G207" s="30" t="str">
        <f t="shared" si="1"/>
        <v>18O_No C</v>
      </c>
      <c r="H207" s="45" t="s">
        <v>54</v>
      </c>
      <c r="I207" s="10">
        <v>35.0</v>
      </c>
      <c r="J207" s="11" t="s">
        <v>70</v>
      </c>
      <c r="K207" s="12" t="str">
        <f>IFERROR(__xludf.DUMMYFUNCTION("TEXTJOIN("""",TRUE, REGEXEXTRACT(J207, ""\d+""),""-"",LEFT(C207,3),""-"",LEFT(D207),""-"",LEFT(E207,2),LEFT(F207,2), ""-R"",REGEXEXTRACT(H207, ""\d+"") )"),"35-Act-N-18No-R2")</f>
        <v>35-Act-N-18No-R2</v>
      </c>
      <c r="L207" s="8" t="s">
        <v>23</v>
      </c>
      <c r="M207" s="13">
        <v>2.0</v>
      </c>
      <c r="N207" s="14">
        <v>1.19</v>
      </c>
      <c r="O207" s="19">
        <f>SUM(N206:N211)</f>
        <v>7.12</v>
      </c>
      <c r="P207" s="20">
        <f t="shared" si="2"/>
        <v>4.537922243</v>
      </c>
    </row>
    <row r="208">
      <c r="A208" s="6"/>
      <c r="B208" s="21"/>
      <c r="C208" s="48" t="s">
        <v>40</v>
      </c>
      <c r="D208" s="38" t="s">
        <v>36</v>
      </c>
      <c r="E208" s="33" t="s">
        <v>30</v>
      </c>
      <c r="F208" s="39" t="s">
        <v>37</v>
      </c>
      <c r="G208" s="30" t="str">
        <f t="shared" si="1"/>
        <v>18O_No C</v>
      </c>
      <c r="H208" s="45" t="s">
        <v>54</v>
      </c>
      <c r="I208" s="10">
        <v>35.0</v>
      </c>
      <c r="J208" s="11" t="s">
        <v>70</v>
      </c>
      <c r="K208" s="12" t="str">
        <f>IFERROR(__xludf.DUMMYFUNCTION("TEXTJOIN("""",TRUE, REGEXEXTRACT(J208, ""\d+""),""-"",LEFT(C208,3),""-"",LEFT(D208),""-"",LEFT(E208,2),LEFT(F208,2), ""-R"",REGEXEXTRACT(H208, ""\d+"") )"),"35-Act-N-18No-R2")</f>
        <v>35-Act-N-18No-R2</v>
      </c>
      <c r="L208" s="8" t="s">
        <v>24</v>
      </c>
      <c r="M208" s="13">
        <v>3.0</v>
      </c>
      <c r="N208" s="14">
        <v>1.15</v>
      </c>
      <c r="O208" s="15">
        <f>SUM(N206:N211)</f>
        <v>7.12</v>
      </c>
      <c r="P208" s="16">
        <f t="shared" si="2"/>
        <v>4.537922243</v>
      </c>
    </row>
    <row r="209">
      <c r="A209" s="17"/>
      <c r="B209" s="18"/>
      <c r="C209" s="48" t="s">
        <v>40</v>
      </c>
      <c r="D209" s="38" t="s">
        <v>36</v>
      </c>
      <c r="E209" s="33" t="s">
        <v>30</v>
      </c>
      <c r="F209" s="39" t="s">
        <v>37</v>
      </c>
      <c r="G209" s="30" t="str">
        <f t="shared" si="1"/>
        <v>18O_No C</v>
      </c>
      <c r="H209" s="45" t="s">
        <v>54</v>
      </c>
      <c r="I209" s="10">
        <v>35.0</v>
      </c>
      <c r="J209" s="11" t="s">
        <v>70</v>
      </c>
      <c r="K209" s="12" t="str">
        <f>IFERROR(__xludf.DUMMYFUNCTION("TEXTJOIN("""",TRUE, REGEXEXTRACT(J209, ""\d+""),""-"",LEFT(C209,3),""-"",LEFT(D209),""-"",LEFT(E209,2),LEFT(F209,2), ""-R"",REGEXEXTRACT(H209, ""\d+"") )"),"35-Act-N-18No-R2")</f>
        <v>35-Act-N-18No-R2</v>
      </c>
      <c r="L209" s="8" t="s">
        <v>25</v>
      </c>
      <c r="M209" s="13">
        <v>4.0</v>
      </c>
      <c r="N209" s="14">
        <v>1.33</v>
      </c>
      <c r="O209" s="19">
        <f>SUM(N206:N211)</f>
        <v>7.12</v>
      </c>
      <c r="P209" s="20">
        <f t="shared" si="2"/>
        <v>4.537922243</v>
      </c>
    </row>
    <row r="210">
      <c r="A210" s="6"/>
      <c r="B210" s="21"/>
      <c r="C210" s="48" t="s">
        <v>40</v>
      </c>
      <c r="D210" s="38" t="s">
        <v>36</v>
      </c>
      <c r="E210" s="33" t="s">
        <v>30</v>
      </c>
      <c r="F210" s="39" t="s">
        <v>37</v>
      </c>
      <c r="G210" s="30" t="str">
        <f t="shared" si="1"/>
        <v>18O_No C</v>
      </c>
      <c r="H210" s="45" t="s">
        <v>54</v>
      </c>
      <c r="I210" s="10">
        <v>35.0</v>
      </c>
      <c r="J210" s="11" t="s">
        <v>70</v>
      </c>
      <c r="K210" s="12" t="str">
        <f>IFERROR(__xludf.DUMMYFUNCTION("TEXTJOIN("""",TRUE, REGEXEXTRACT(J210, ""\d+""),""-"",LEFT(C210,3),""-"",LEFT(D210),""-"",LEFT(E210,2),LEFT(F210,2), ""-R"",REGEXEXTRACT(H210, ""\d+"") )"),"35-Act-N-18No-R2")</f>
        <v>35-Act-N-18No-R2</v>
      </c>
      <c r="L210" s="8" t="s">
        <v>26</v>
      </c>
      <c r="M210" s="13">
        <v>5.0</v>
      </c>
      <c r="N210" s="14">
        <v>1.18</v>
      </c>
      <c r="O210" s="15">
        <f>SUM(N206:N211)</f>
        <v>7.12</v>
      </c>
      <c r="P210" s="16">
        <f t="shared" si="2"/>
        <v>4.537922243</v>
      </c>
    </row>
    <row r="211">
      <c r="A211" s="17"/>
      <c r="B211" s="18"/>
      <c r="C211" s="48" t="s">
        <v>40</v>
      </c>
      <c r="D211" s="38" t="s">
        <v>36</v>
      </c>
      <c r="E211" s="33" t="s">
        <v>30</v>
      </c>
      <c r="F211" s="39" t="s">
        <v>37</v>
      </c>
      <c r="G211" s="30" t="str">
        <f t="shared" si="1"/>
        <v>18O_No C</v>
      </c>
      <c r="H211" s="45" t="s">
        <v>54</v>
      </c>
      <c r="I211" s="10">
        <v>35.0</v>
      </c>
      <c r="J211" s="11" t="s">
        <v>70</v>
      </c>
      <c r="K211" s="12" t="str">
        <f>IFERROR(__xludf.DUMMYFUNCTION("TEXTJOIN("""",TRUE, REGEXEXTRACT(J211, ""\d+""),""-"",LEFT(C211,3),""-"",LEFT(D211),""-"",LEFT(E211,2),LEFT(F211,2), ""-R"",REGEXEXTRACT(H211, ""\d+"") )"),"35-Act-N-18No-R2")</f>
        <v>35-Act-N-18No-R2</v>
      </c>
      <c r="L211" s="8" t="s">
        <v>27</v>
      </c>
      <c r="M211" s="13">
        <v>6.0</v>
      </c>
      <c r="N211" s="14">
        <v>1.15</v>
      </c>
      <c r="O211" s="19">
        <f>SUM(N206:N211)</f>
        <v>7.12</v>
      </c>
      <c r="P211" s="20">
        <f t="shared" si="2"/>
        <v>4.537922243</v>
      </c>
    </row>
    <row r="212">
      <c r="A212" s="6"/>
      <c r="B212" s="21"/>
      <c r="C212" s="49" t="s">
        <v>50</v>
      </c>
      <c r="D212" s="23" t="s">
        <v>17</v>
      </c>
      <c r="E212" s="24" t="s">
        <v>18</v>
      </c>
      <c r="F212" s="24" t="s">
        <v>28</v>
      </c>
      <c r="G212" s="26" t="str">
        <f t="shared" si="1"/>
        <v>16O_12C</v>
      </c>
      <c r="H212" s="45" t="s">
        <v>54</v>
      </c>
      <c r="I212" s="10">
        <v>36.0</v>
      </c>
      <c r="J212" s="11" t="s">
        <v>71</v>
      </c>
      <c r="K212" s="12" t="str">
        <f>IFERROR(__xludf.DUMMYFUNCTION("TEXTJOIN("""",TRUE, REGEXEXTRACT(J212, ""\d+""),""-"",LEFT(C212,3),""-"",LEFT(D212),""-"",LEFT(E212,2),LEFT(F212,2), ""-R"",REGEXEXTRACT(H212, ""\d+"") )"),"36-Per-L-1612-R2")</f>
        <v>36-Per-L-1612-R2</v>
      </c>
      <c r="L212" s="8" t="s">
        <v>22</v>
      </c>
      <c r="M212" s="13">
        <v>1.0</v>
      </c>
      <c r="N212" s="14">
        <v>1.22</v>
      </c>
      <c r="O212" s="15">
        <f>SUM(N212:N217)</f>
        <v>7.41</v>
      </c>
      <c r="P212" s="16">
        <f t="shared" si="2"/>
        <v>4.722753346</v>
      </c>
    </row>
    <row r="213">
      <c r="A213" s="17"/>
      <c r="B213" s="18"/>
      <c r="C213" s="49" t="s">
        <v>50</v>
      </c>
      <c r="D213" s="23" t="s">
        <v>17</v>
      </c>
      <c r="E213" s="24" t="s">
        <v>18</v>
      </c>
      <c r="F213" s="24" t="s">
        <v>28</v>
      </c>
      <c r="G213" s="26" t="str">
        <f t="shared" si="1"/>
        <v>16O_12C</v>
      </c>
      <c r="H213" s="45" t="s">
        <v>54</v>
      </c>
      <c r="I213" s="10">
        <v>36.0</v>
      </c>
      <c r="J213" s="11" t="s">
        <v>71</v>
      </c>
      <c r="K213" s="12" t="str">
        <f>IFERROR(__xludf.DUMMYFUNCTION("TEXTJOIN("""",TRUE, REGEXEXTRACT(J213, ""\d+""),""-"",LEFT(C213,3),""-"",LEFT(D213),""-"",LEFT(E213,2),LEFT(F213,2), ""-R"",REGEXEXTRACT(H213, ""\d+"") )"),"36-Per-L-1612-R2")</f>
        <v>36-Per-L-1612-R2</v>
      </c>
      <c r="L213" s="8" t="s">
        <v>23</v>
      </c>
      <c r="M213" s="13">
        <v>2.0</v>
      </c>
      <c r="N213" s="14">
        <v>1.21</v>
      </c>
      <c r="O213" s="19">
        <f>SUM(N212:N217)</f>
        <v>7.41</v>
      </c>
      <c r="P213" s="20">
        <f t="shared" si="2"/>
        <v>4.722753346</v>
      </c>
    </row>
    <row r="214">
      <c r="A214" s="6"/>
      <c r="B214" s="21"/>
      <c r="C214" s="49" t="s">
        <v>50</v>
      </c>
      <c r="D214" s="23" t="s">
        <v>17</v>
      </c>
      <c r="E214" s="24" t="s">
        <v>18</v>
      </c>
      <c r="F214" s="24" t="s">
        <v>28</v>
      </c>
      <c r="G214" s="26" t="str">
        <f t="shared" si="1"/>
        <v>16O_12C</v>
      </c>
      <c r="H214" s="45" t="s">
        <v>54</v>
      </c>
      <c r="I214" s="10">
        <v>36.0</v>
      </c>
      <c r="J214" s="11" t="s">
        <v>71</v>
      </c>
      <c r="K214" s="12" t="str">
        <f>IFERROR(__xludf.DUMMYFUNCTION("TEXTJOIN("""",TRUE, REGEXEXTRACT(J214, ""\d+""),""-"",LEFT(C214,3),""-"",LEFT(D214),""-"",LEFT(E214,2),LEFT(F214,2), ""-R"",REGEXEXTRACT(H214, ""\d+"") )"),"36-Per-L-1612-R2")</f>
        <v>36-Per-L-1612-R2</v>
      </c>
      <c r="L214" s="8" t="s">
        <v>24</v>
      </c>
      <c r="M214" s="13">
        <v>3.0</v>
      </c>
      <c r="N214" s="14">
        <v>1.28</v>
      </c>
      <c r="O214" s="15">
        <f>SUM(N212:N217)</f>
        <v>7.41</v>
      </c>
      <c r="P214" s="16">
        <f t="shared" si="2"/>
        <v>4.722753346</v>
      </c>
    </row>
    <row r="215">
      <c r="A215" s="17"/>
      <c r="B215" s="18"/>
      <c r="C215" s="49" t="s">
        <v>50</v>
      </c>
      <c r="D215" s="23" t="s">
        <v>17</v>
      </c>
      <c r="E215" s="24" t="s">
        <v>18</v>
      </c>
      <c r="F215" s="24" t="s">
        <v>28</v>
      </c>
      <c r="G215" s="26" t="str">
        <f t="shared" si="1"/>
        <v>16O_12C</v>
      </c>
      <c r="H215" s="45" t="s">
        <v>54</v>
      </c>
      <c r="I215" s="10">
        <v>36.0</v>
      </c>
      <c r="J215" s="11" t="s">
        <v>71</v>
      </c>
      <c r="K215" s="12" t="str">
        <f>IFERROR(__xludf.DUMMYFUNCTION("TEXTJOIN("""",TRUE, REGEXEXTRACT(J215, ""\d+""),""-"",LEFT(C215,3),""-"",LEFT(D215),""-"",LEFT(E215,2),LEFT(F215,2), ""-R"",REGEXEXTRACT(H215, ""\d+"") )"),"36-Per-L-1612-R2")</f>
        <v>36-Per-L-1612-R2</v>
      </c>
      <c r="L215" s="8" t="s">
        <v>25</v>
      </c>
      <c r="M215" s="13">
        <v>4.0</v>
      </c>
      <c r="N215" s="14">
        <v>1.21</v>
      </c>
      <c r="O215" s="19">
        <f>SUM(N212:N217)</f>
        <v>7.41</v>
      </c>
      <c r="P215" s="20">
        <f t="shared" si="2"/>
        <v>4.722753346</v>
      </c>
    </row>
    <row r="216">
      <c r="A216" s="6"/>
      <c r="B216" s="21"/>
      <c r="C216" s="49" t="s">
        <v>50</v>
      </c>
      <c r="D216" s="23" t="s">
        <v>17</v>
      </c>
      <c r="E216" s="24" t="s">
        <v>18</v>
      </c>
      <c r="F216" s="24" t="s">
        <v>28</v>
      </c>
      <c r="G216" s="26" t="str">
        <f t="shared" si="1"/>
        <v>16O_12C</v>
      </c>
      <c r="H216" s="45" t="s">
        <v>54</v>
      </c>
      <c r="I216" s="10">
        <v>36.0</v>
      </c>
      <c r="J216" s="11" t="s">
        <v>71</v>
      </c>
      <c r="K216" s="12" t="str">
        <f>IFERROR(__xludf.DUMMYFUNCTION("TEXTJOIN("""",TRUE, REGEXEXTRACT(J216, ""\d+""),""-"",LEFT(C216,3),""-"",LEFT(D216),""-"",LEFT(E216,2),LEFT(F216,2), ""-R"",REGEXEXTRACT(H216, ""\d+"") )"),"36-Per-L-1612-R2")</f>
        <v>36-Per-L-1612-R2</v>
      </c>
      <c r="L216" s="8" t="s">
        <v>26</v>
      </c>
      <c r="M216" s="13">
        <v>5.0</v>
      </c>
      <c r="N216" s="14">
        <v>1.26</v>
      </c>
      <c r="O216" s="15">
        <f>SUM(N212:N217)</f>
        <v>7.41</v>
      </c>
      <c r="P216" s="16">
        <f t="shared" si="2"/>
        <v>4.722753346</v>
      </c>
    </row>
    <row r="217">
      <c r="A217" s="17"/>
      <c r="B217" s="18"/>
      <c r="C217" s="49" t="s">
        <v>50</v>
      </c>
      <c r="D217" s="23" t="s">
        <v>17</v>
      </c>
      <c r="E217" s="24" t="s">
        <v>18</v>
      </c>
      <c r="F217" s="24" t="s">
        <v>28</v>
      </c>
      <c r="G217" s="26" t="str">
        <f t="shared" si="1"/>
        <v>16O_12C</v>
      </c>
      <c r="H217" s="45" t="s">
        <v>54</v>
      </c>
      <c r="I217" s="10">
        <v>36.0</v>
      </c>
      <c r="J217" s="11" t="s">
        <v>71</v>
      </c>
      <c r="K217" s="12" t="str">
        <f>IFERROR(__xludf.DUMMYFUNCTION("TEXTJOIN("""",TRUE, REGEXEXTRACT(J217, ""\d+""),""-"",LEFT(C217,3),""-"",LEFT(D217),""-"",LEFT(E217,2),LEFT(F217,2), ""-R"",REGEXEXTRACT(H217, ""\d+"") )"),"36-Per-L-1612-R2")</f>
        <v>36-Per-L-1612-R2</v>
      </c>
      <c r="L217" s="8" t="s">
        <v>27</v>
      </c>
      <c r="M217" s="13">
        <v>6.0</v>
      </c>
      <c r="N217" s="14">
        <v>1.23</v>
      </c>
      <c r="O217" s="19">
        <f>SUM(N212:N217)</f>
        <v>7.41</v>
      </c>
      <c r="P217" s="20">
        <f t="shared" si="2"/>
        <v>4.722753346</v>
      </c>
    </row>
    <row r="218">
      <c r="A218" s="6"/>
      <c r="B218" s="21"/>
      <c r="C218" s="50" t="s">
        <v>50</v>
      </c>
      <c r="D218" s="32" t="s">
        <v>32</v>
      </c>
      <c r="E218" s="29" t="s">
        <v>18</v>
      </c>
      <c r="F218" s="29" t="s">
        <v>28</v>
      </c>
      <c r="G218" s="30" t="str">
        <f t="shared" si="1"/>
        <v>16O_12C</v>
      </c>
      <c r="H218" s="45" t="s">
        <v>54</v>
      </c>
      <c r="I218" s="10">
        <v>37.0</v>
      </c>
      <c r="J218" s="11" t="s">
        <v>72</v>
      </c>
      <c r="K218" s="12" t="str">
        <f>IFERROR(__xludf.DUMMYFUNCTION("TEXTJOIN("""",TRUE, REGEXEXTRACT(J218, ""\d+""),""-"",LEFT(C218,3),""-"",LEFT(D218),""-"",LEFT(E218,2),LEFT(F218,2), ""-R"",REGEXEXTRACT(H218, ""\d+"") )"),"37-Per-E-1612-R2")</f>
        <v>37-Per-E-1612-R2</v>
      </c>
      <c r="L218" s="8" t="s">
        <v>22</v>
      </c>
      <c r="M218" s="13">
        <v>1.0</v>
      </c>
      <c r="N218" s="14">
        <v>1.16</v>
      </c>
      <c r="O218" s="15">
        <f>SUM(N218:N223)</f>
        <v>7.19</v>
      </c>
      <c r="P218" s="16">
        <f t="shared" si="2"/>
        <v>4.582536648</v>
      </c>
    </row>
    <row r="219">
      <c r="A219" s="17"/>
      <c r="B219" s="18"/>
      <c r="C219" s="50" t="s">
        <v>50</v>
      </c>
      <c r="D219" s="32" t="s">
        <v>32</v>
      </c>
      <c r="E219" s="29" t="s">
        <v>18</v>
      </c>
      <c r="F219" s="29" t="s">
        <v>28</v>
      </c>
      <c r="G219" s="30" t="str">
        <f t="shared" si="1"/>
        <v>16O_12C</v>
      </c>
      <c r="H219" s="45" t="s">
        <v>54</v>
      </c>
      <c r="I219" s="10">
        <v>37.0</v>
      </c>
      <c r="J219" s="11" t="s">
        <v>72</v>
      </c>
      <c r="K219" s="12" t="str">
        <f>IFERROR(__xludf.DUMMYFUNCTION("TEXTJOIN("""",TRUE, REGEXEXTRACT(J219, ""\d+""),""-"",LEFT(C219,3),""-"",LEFT(D219),""-"",LEFT(E219,2),LEFT(F219,2), ""-R"",REGEXEXTRACT(H219, ""\d+"") )"),"37-Per-E-1612-R2")</f>
        <v>37-Per-E-1612-R2</v>
      </c>
      <c r="L219" s="8" t="s">
        <v>23</v>
      </c>
      <c r="M219" s="13">
        <v>2.0</v>
      </c>
      <c r="N219" s="14">
        <v>1.3</v>
      </c>
      <c r="O219" s="19">
        <f>SUM(N218:N223)</f>
        <v>7.19</v>
      </c>
      <c r="P219" s="20">
        <f t="shared" si="2"/>
        <v>4.582536648</v>
      </c>
    </row>
    <row r="220">
      <c r="A220" s="6"/>
      <c r="B220" s="21"/>
      <c r="C220" s="50" t="s">
        <v>50</v>
      </c>
      <c r="D220" s="32" t="s">
        <v>32</v>
      </c>
      <c r="E220" s="29" t="s">
        <v>18</v>
      </c>
      <c r="F220" s="29" t="s">
        <v>28</v>
      </c>
      <c r="G220" s="30" t="str">
        <f t="shared" si="1"/>
        <v>16O_12C</v>
      </c>
      <c r="H220" s="45" t="s">
        <v>54</v>
      </c>
      <c r="I220" s="10">
        <v>37.0</v>
      </c>
      <c r="J220" s="11" t="s">
        <v>72</v>
      </c>
      <c r="K220" s="12" t="str">
        <f>IFERROR(__xludf.DUMMYFUNCTION("TEXTJOIN("""",TRUE, REGEXEXTRACT(J220, ""\d+""),""-"",LEFT(C220,3),""-"",LEFT(D220),""-"",LEFT(E220,2),LEFT(F220,2), ""-R"",REGEXEXTRACT(H220, ""\d+"") )"),"37-Per-E-1612-R2")</f>
        <v>37-Per-E-1612-R2</v>
      </c>
      <c r="L220" s="8" t="s">
        <v>24</v>
      </c>
      <c r="M220" s="13">
        <v>3.0</v>
      </c>
      <c r="N220" s="14">
        <v>1.24</v>
      </c>
      <c r="O220" s="15">
        <f>SUM(N218:N223)</f>
        <v>7.19</v>
      </c>
      <c r="P220" s="16">
        <f t="shared" si="2"/>
        <v>4.582536648</v>
      </c>
    </row>
    <row r="221">
      <c r="A221" s="17"/>
      <c r="B221" s="18"/>
      <c r="C221" s="50" t="s">
        <v>50</v>
      </c>
      <c r="D221" s="32" t="s">
        <v>32</v>
      </c>
      <c r="E221" s="29" t="s">
        <v>18</v>
      </c>
      <c r="F221" s="29" t="s">
        <v>28</v>
      </c>
      <c r="G221" s="30" t="str">
        <f t="shared" si="1"/>
        <v>16O_12C</v>
      </c>
      <c r="H221" s="45" t="s">
        <v>54</v>
      </c>
      <c r="I221" s="10">
        <v>37.0</v>
      </c>
      <c r="J221" s="11" t="s">
        <v>72</v>
      </c>
      <c r="K221" s="12" t="str">
        <f>IFERROR(__xludf.DUMMYFUNCTION("TEXTJOIN("""",TRUE, REGEXEXTRACT(J221, ""\d+""),""-"",LEFT(C221,3),""-"",LEFT(D221),""-"",LEFT(E221,2),LEFT(F221,2), ""-R"",REGEXEXTRACT(H221, ""\d+"") )"),"37-Per-E-1612-R2")</f>
        <v>37-Per-E-1612-R2</v>
      </c>
      <c r="L221" s="8" t="s">
        <v>25</v>
      </c>
      <c r="M221" s="13">
        <v>4.0</v>
      </c>
      <c r="N221" s="14">
        <v>1.17</v>
      </c>
      <c r="O221" s="19">
        <f>SUM(N218:N223)</f>
        <v>7.19</v>
      </c>
      <c r="P221" s="20">
        <f t="shared" si="2"/>
        <v>4.582536648</v>
      </c>
    </row>
    <row r="222">
      <c r="A222" s="6"/>
      <c r="B222" s="21"/>
      <c r="C222" s="50" t="s">
        <v>50</v>
      </c>
      <c r="D222" s="32" t="s">
        <v>32</v>
      </c>
      <c r="E222" s="29" t="s">
        <v>18</v>
      </c>
      <c r="F222" s="29" t="s">
        <v>28</v>
      </c>
      <c r="G222" s="30" t="str">
        <f t="shared" si="1"/>
        <v>16O_12C</v>
      </c>
      <c r="H222" s="45" t="s">
        <v>54</v>
      </c>
      <c r="I222" s="10">
        <v>37.0</v>
      </c>
      <c r="J222" s="11" t="s">
        <v>72</v>
      </c>
      <c r="K222" s="12" t="str">
        <f>IFERROR(__xludf.DUMMYFUNCTION("TEXTJOIN("""",TRUE, REGEXEXTRACT(J222, ""\d+""),""-"",LEFT(C222,3),""-"",LEFT(D222),""-"",LEFT(E222,2),LEFT(F222,2), ""-R"",REGEXEXTRACT(H222, ""\d+"") )"),"37-Per-E-1612-R2")</f>
        <v>37-Per-E-1612-R2</v>
      </c>
      <c r="L222" s="8" t="s">
        <v>26</v>
      </c>
      <c r="M222" s="13">
        <v>5.0</v>
      </c>
      <c r="N222" s="14">
        <v>1.18</v>
      </c>
      <c r="O222" s="15">
        <f>SUM(N218:N223)</f>
        <v>7.19</v>
      </c>
      <c r="P222" s="16">
        <f t="shared" si="2"/>
        <v>4.582536648</v>
      </c>
    </row>
    <row r="223">
      <c r="A223" s="17"/>
      <c r="B223" s="18"/>
      <c r="C223" s="50" t="s">
        <v>50</v>
      </c>
      <c r="D223" s="32" t="s">
        <v>32</v>
      </c>
      <c r="E223" s="29" t="s">
        <v>18</v>
      </c>
      <c r="F223" s="29" t="s">
        <v>28</v>
      </c>
      <c r="G223" s="30" t="str">
        <f t="shared" si="1"/>
        <v>16O_12C</v>
      </c>
      <c r="H223" s="45" t="s">
        <v>54</v>
      </c>
      <c r="I223" s="10">
        <v>37.0</v>
      </c>
      <c r="J223" s="11" t="s">
        <v>72</v>
      </c>
      <c r="K223" s="12" t="str">
        <f>IFERROR(__xludf.DUMMYFUNCTION("TEXTJOIN("""",TRUE, REGEXEXTRACT(J223, ""\d+""),""-"",LEFT(C223,3),""-"",LEFT(D223),""-"",LEFT(E223,2),LEFT(F223,2), ""-R"",REGEXEXTRACT(H223, ""\d+"") )"),"37-Per-E-1612-R2")</f>
        <v>37-Per-E-1612-R2</v>
      </c>
      <c r="L223" s="8" t="s">
        <v>27</v>
      </c>
      <c r="M223" s="13">
        <v>6.0</v>
      </c>
      <c r="N223" s="14">
        <v>1.14</v>
      </c>
      <c r="O223" s="19">
        <f>SUM(N218:N223)</f>
        <v>7.19</v>
      </c>
      <c r="P223" s="20">
        <f t="shared" si="2"/>
        <v>4.582536648</v>
      </c>
    </row>
    <row r="224">
      <c r="A224" s="6"/>
      <c r="B224" s="21"/>
      <c r="C224" s="49" t="s">
        <v>50</v>
      </c>
      <c r="D224" s="36" t="s">
        <v>36</v>
      </c>
      <c r="E224" s="24" t="s">
        <v>18</v>
      </c>
      <c r="F224" s="24" t="s">
        <v>37</v>
      </c>
      <c r="G224" s="26" t="str">
        <f t="shared" si="1"/>
        <v>16O_No C</v>
      </c>
      <c r="H224" s="45" t="s">
        <v>54</v>
      </c>
      <c r="I224" s="10">
        <v>38.0</v>
      </c>
      <c r="J224" s="11" t="s">
        <v>73</v>
      </c>
      <c r="K224" s="12" t="str">
        <f>IFERROR(__xludf.DUMMYFUNCTION("TEXTJOIN("""",TRUE, REGEXEXTRACT(J224, ""\d+""),""-"",LEFT(C224,3),""-"",LEFT(D224),""-"",LEFT(E224,2),LEFT(F224,2), ""-R"",REGEXEXTRACT(H224, ""\d+"") )"),"38-Per-N-16No-R2")</f>
        <v>38-Per-N-16No-R2</v>
      </c>
      <c r="L224" s="8" t="s">
        <v>22</v>
      </c>
      <c r="M224" s="13">
        <v>1.0</v>
      </c>
      <c r="N224" s="14">
        <v>1.18</v>
      </c>
      <c r="O224" s="15">
        <f>SUM(N224:N229)</f>
        <v>7.12</v>
      </c>
      <c r="P224" s="16">
        <f t="shared" si="2"/>
        <v>4.537922243</v>
      </c>
    </row>
    <row r="225">
      <c r="A225" s="17"/>
      <c r="B225" s="18"/>
      <c r="C225" s="49" t="s">
        <v>50</v>
      </c>
      <c r="D225" s="36" t="s">
        <v>36</v>
      </c>
      <c r="E225" s="24" t="s">
        <v>18</v>
      </c>
      <c r="F225" s="24" t="s">
        <v>37</v>
      </c>
      <c r="G225" s="26" t="str">
        <f t="shared" si="1"/>
        <v>16O_No C</v>
      </c>
      <c r="H225" s="45" t="s">
        <v>54</v>
      </c>
      <c r="I225" s="10">
        <v>38.0</v>
      </c>
      <c r="J225" s="11" t="s">
        <v>73</v>
      </c>
      <c r="K225" s="12" t="str">
        <f>IFERROR(__xludf.DUMMYFUNCTION("TEXTJOIN("""",TRUE, REGEXEXTRACT(J225, ""\d+""),""-"",LEFT(C225,3),""-"",LEFT(D225),""-"",LEFT(E225,2),LEFT(F225,2), ""-R"",REGEXEXTRACT(H225, ""\d+"") )"),"38-Per-N-16No-R2")</f>
        <v>38-Per-N-16No-R2</v>
      </c>
      <c r="L225" s="8" t="s">
        <v>23</v>
      </c>
      <c r="M225" s="13">
        <v>2.0</v>
      </c>
      <c r="N225" s="14">
        <v>1.24</v>
      </c>
      <c r="O225" s="19">
        <f>SUM(N224:N229)</f>
        <v>7.12</v>
      </c>
      <c r="P225" s="20">
        <f t="shared" si="2"/>
        <v>4.537922243</v>
      </c>
    </row>
    <row r="226">
      <c r="A226" s="6"/>
      <c r="B226" s="21"/>
      <c r="C226" s="49" t="s">
        <v>50</v>
      </c>
      <c r="D226" s="36" t="s">
        <v>36</v>
      </c>
      <c r="E226" s="24" t="s">
        <v>18</v>
      </c>
      <c r="F226" s="24" t="s">
        <v>37</v>
      </c>
      <c r="G226" s="26" t="str">
        <f t="shared" si="1"/>
        <v>16O_No C</v>
      </c>
      <c r="H226" s="45" t="s">
        <v>54</v>
      </c>
      <c r="I226" s="10">
        <v>38.0</v>
      </c>
      <c r="J226" s="11" t="s">
        <v>73</v>
      </c>
      <c r="K226" s="12" t="str">
        <f>IFERROR(__xludf.DUMMYFUNCTION("TEXTJOIN("""",TRUE, REGEXEXTRACT(J226, ""\d+""),""-"",LEFT(C226,3),""-"",LEFT(D226),""-"",LEFT(E226,2),LEFT(F226,2), ""-R"",REGEXEXTRACT(H226, ""\d+"") )"),"38-Per-N-16No-R2")</f>
        <v>38-Per-N-16No-R2</v>
      </c>
      <c r="L226" s="8" t="s">
        <v>24</v>
      </c>
      <c r="M226" s="13">
        <v>3.0</v>
      </c>
      <c r="N226" s="14">
        <v>1.16</v>
      </c>
      <c r="O226" s="15">
        <f>SUM(N224:N229)</f>
        <v>7.12</v>
      </c>
      <c r="P226" s="16">
        <f t="shared" si="2"/>
        <v>4.537922243</v>
      </c>
    </row>
    <row r="227">
      <c r="A227" s="17"/>
      <c r="B227" s="18"/>
      <c r="C227" s="49" t="s">
        <v>50</v>
      </c>
      <c r="D227" s="36" t="s">
        <v>36</v>
      </c>
      <c r="E227" s="24" t="s">
        <v>18</v>
      </c>
      <c r="F227" s="24" t="s">
        <v>37</v>
      </c>
      <c r="G227" s="26" t="str">
        <f t="shared" si="1"/>
        <v>16O_No C</v>
      </c>
      <c r="H227" s="45" t="s">
        <v>54</v>
      </c>
      <c r="I227" s="10">
        <v>38.0</v>
      </c>
      <c r="J227" s="11" t="s">
        <v>73</v>
      </c>
      <c r="K227" s="12" t="str">
        <f>IFERROR(__xludf.DUMMYFUNCTION("TEXTJOIN("""",TRUE, REGEXEXTRACT(J227, ""\d+""),""-"",LEFT(C227,3),""-"",LEFT(D227),""-"",LEFT(E227,2),LEFT(F227,2), ""-R"",REGEXEXTRACT(H227, ""\d+"") )"),"38-Per-N-16No-R2")</f>
        <v>38-Per-N-16No-R2</v>
      </c>
      <c r="L227" s="8" t="s">
        <v>25</v>
      </c>
      <c r="M227" s="13">
        <v>4.0</v>
      </c>
      <c r="N227" s="14">
        <v>1.18</v>
      </c>
      <c r="O227" s="19">
        <f>SUM(N224:N229)</f>
        <v>7.12</v>
      </c>
      <c r="P227" s="20">
        <f t="shared" si="2"/>
        <v>4.537922243</v>
      </c>
    </row>
    <row r="228">
      <c r="A228" s="6"/>
      <c r="B228" s="21"/>
      <c r="C228" s="49" t="s">
        <v>50</v>
      </c>
      <c r="D228" s="36" t="s">
        <v>36</v>
      </c>
      <c r="E228" s="24" t="s">
        <v>18</v>
      </c>
      <c r="F228" s="24" t="s">
        <v>37</v>
      </c>
      <c r="G228" s="26" t="str">
        <f t="shared" si="1"/>
        <v>16O_No C</v>
      </c>
      <c r="H228" s="45" t="s">
        <v>54</v>
      </c>
      <c r="I228" s="10">
        <v>38.0</v>
      </c>
      <c r="J228" s="11" t="s">
        <v>73</v>
      </c>
      <c r="K228" s="12" t="str">
        <f>IFERROR(__xludf.DUMMYFUNCTION("TEXTJOIN("""",TRUE, REGEXEXTRACT(J228, ""\d+""),""-"",LEFT(C228,3),""-"",LEFT(D228),""-"",LEFT(E228,2),LEFT(F228,2), ""-R"",REGEXEXTRACT(H228, ""\d+"") )"),"38-Per-N-16No-R2")</f>
        <v>38-Per-N-16No-R2</v>
      </c>
      <c r="L228" s="8" t="s">
        <v>26</v>
      </c>
      <c r="M228" s="13">
        <v>5.0</v>
      </c>
      <c r="N228" s="14">
        <v>1.17</v>
      </c>
      <c r="O228" s="15">
        <f>SUM(N224:N229)</f>
        <v>7.12</v>
      </c>
      <c r="P228" s="16">
        <f t="shared" si="2"/>
        <v>4.537922243</v>
      </c>
    </row>
    <row r="229">
      <c r="A229" s="17"/>
      <c r="B229" s="18"/>
      <c r="C229" s="49" t="s">
        <v>50</v>
      </c>
      <c r="D229" s="36" t="s">
        <v>36</v>
      </c>
      <c r="E229" s="24" t="s">
        <v>18</v>
      </c>
      <c r="F229" s="24" t="s">
        <v>37</v>
      </c>
      <c r="G229" s="26" t="str">
        <f t="shared" si="1"/>
        <v>16O_No C</v>
      </c>
      <c r="H229" s="45" t="s">
        <v>54</v>
      </c>
      <c r="I229" s="10">
        <v>38.0</v>
      </c>
      <c r="J229" s="11" t="s">
        <v>73</v>
      </c>
      <c r="K229" s="12" t="str">
        <f>IFERROR(__xludf.DUMMYFUNCTION("TEXTJOIN("""",TRUE, REGEXEXTRACT(J229, ""\d+""),""-"",LEFT(C229,3),""-"",LEFT(D229),""-"",LEFT(E229,2),LEFT(F229,2), ""-R"",REGEXEXTRACT(H229, ""\d+"") )"),"38-Per-N-16No-R2")</f>
        <v>38-Per-N-16No-R2</v>
      </c>
      <c r="L229" s="8" t="s">
        <v>27</v>
      </c>
      <c r="M229" s="13">
        <v>6.0</v>
      </c>
      <c r="N229" s="14">
        <v>1.19</v>
      </c>
      <c r="O229" s="19">
        <f>SUM(N224:N229)</f>
        <v>7.12</v>
      </c>
      <c r="P229" s="20">
        <f t="shared" si="2"/>
        <v>4.537922243</v>
      </c>
    </row>
    <row r="230">
      <c r="A230" s="6"/>
      <c r="B230" s="21"/>
      <c r="C230" s="51" t="s">
        <v>16</v>
      </c>
      <c r="D230" s="23" t="s">
        <v>17</v>
      </c>
      <c r="E230" s="24" t="s">
        <v>18</v>
      </c>
      <c r="F230" s="25" t="s">
        <v>19</v>
      </c>
      <c r="G230" s="26" t="str">
        <f t="shared" si="1"/>
        <v>16O_13C</v>
      </c>
      <c r="H230" s="45" t="s">
        <v>74</v>
      </c>
      <c r="I230" s="10">
        <v>39.0</v>
      </c>
      <c r="J230" s="11" t="s">
        <v>75</v>
      </c>
      <c r="K230" s="12" t="str">
        <f>IFERROR(__xludf.DUMMYFUNCTION("TEXTJOIN("""",TRUE, REGEXEXTRACT(J230, ""\d+""),""-"",LEFT(C230,3),""-"",LEFT(D230),""-"",LEFT(E230,2),LEFT(F230,2), ""-R"",REGEXEXTRACT(H230, ""\d+"") )"),"39-Rhi-L-1613-R3")</f>
        <v>39-Rhi-L-1613-R3</v>
      </c>
      <c r="L230" s="8" t="s">
        <v>22</v>
      </c>
      <c r="M230" s="13">
        <v>1.0</v>
      </c>
      <c r="N230" s="14">
        <v>1.1</v>
      </c>
      <c r="O230" s="15">
        <f>SUM(N230:N235)</f>
        <v>6.93</v>
      </c>
      <c r="P230" s="16">
        <f t="shared" si="2"/>
        <v>4.416826004</v>
      </c>
    </row>
    <row r="231">
      <c r="A231" s="17"/>
      <c r="B231" s="18"/>
      <c r="C231" s="51" t="s">
        <v>16</v>
      </c>
      <c r="D231" s="23" t="s">
        <v>17</v>
      </c>
      <c r="E231" s="24" t="s">
        <v>18</v>
      </c>
      <c r="F231" s="25" t="s">
        <v>19</v>
      </c>
      <c r="G231" s="26" t="str">
        <f t="shared" si="1"/>
        <v>16O_13C</v>
      </c>
      <c r="H231" s="45" t="s">
        <v>74</v>
      </c>
      <c r="I231" s="10">
        <v>39.0</v>
      </c>
      <c r="J231" s="11" t="s">
        <v>75</v>
      </c>
      <c r="K231" s="12" t="str">
        <f>IFERROR(__xludf.DUMMYFUNCTION("TEXTJOIN("""",TRUE, REGEXEXTRACT(J231, ""\d+""),""-"",LEFT(C231,3),""-"",LEFT(D231),""-"",LEFT(E231,2),LEFT(F231,2), ""-R"",REGEXEXTRACT(H231, ""\d+"") )"),"39-Rhi-L-1613-R3")</f>
        <v>39-Rhi-L-1613-R3</v>
      </c>
      <c r="L231" s="8" t="s">
        <v>23</v>
      </c>
      <c r="M231" s="13">
        <v>2.0</v>
      </c>
      <c r="N231" s="14">
        <v>1.2</v>
      </c>
      <c r="O231" s="19">
        <f>SUM(N230:N235)</f>
        <v>6.93</v>
      </c>
      <c r="P231" s="20">
        <f t="shared" si="2"/>
        <v>4.416826004</v>
      </c>
    </row>
    <row r="232">
      <c r="A232" s="6"/>
      <c r="B232" s="21"/>
      <c r="C232" s="51" t="s">
        <v>16</v>
      </c>
      <c r="D232" s="23" t="s">
        <v>17</v>
      </c>
      <c r="E232" s="24" t="s">
        <v>18</v>
      </c>
      <c r="F232" s="25" t="s">
        <v>19</v>
      </c>
      <c r="G232" s="26" t="str">
        <f t="shared" si="1"/>
        <v>16O_13C</v>
      </c>
      <c r="H232" s="45" t="s">
        <v>74</v>
      </c>
      <c r="I232" s="10">
        <v>39.0</v>
      </c>
      <c r="J232" s="11" t="s">
        <v>75</v>
      </c>
      <c r="K232" s="12" t="str">
        <f>IFERROR(__xludf.DUMMYFUNCTION("TEXTJOIN("""",TRUE, REGEXEXTRACT(J232, ""\d+""),""-"",LEFT(C232,3),""-"",LEFT(D232),""-"",LEFT(E232,2),LEFT(F232,2), ""-R"",REGEXEXTRACT(H232, ""\d+"") )"),"39-Rhi-L-1613-R3")</f>
        <v>39-Rhi-L-1613-R3</v>
      </c>
      <c r="L232" s="8" t="s">
        <v>24</v>
      </c>
      <c r="M232" s="13">
        <v>3.0</v>
      </c>
      <c r="N232" s="14">
        <v>1.16</v>
      </c>
      <c r="O232" s="15">
        <f>SUM(N230:N235)</f>
        <v>6.93</v>
      </c>
      <c r="P232" s="16">
        <f t="shared" si="2"/>
        <v>4.416826004</v>
      </c>
    </row>
    <row r="233">
      <c r="A233" s="17"/>
      <c r="B233" s="18"/>
      <c r="C233" s="51" t="s">
        <v>16</v>
      </c>
      <c r="D233" s="23" t="s">
        <v>17</v>
      </c>
      <c r="E233" s="24" t="s">
        <v>18</v>
      </c>
      <c r="F233" s="25" t="s">
        <v>19</v>
      </c>
      <c r="G233" s="26" t="str">
        <f t="shared" si="1"/>
        <v>16O_13C</v>
      </c>
      <c r="H233" s="45" t="s">
        <v>74</v>
      </c>
      <c r="I233" s="10">
        <v>39.0</v>
      </c>
      <c r="J233" s="11" t="s">
        <v>75</v>
      </c>
      <c r="K233" s="12" t="str">
        <f>IFERROR(__xludf.DUMMYFUNCTION("TEXTJOIN("""",TRUE, REGEXEXTRACT(J233, ""\d+""),""-"",LEFT(C233,3),""-"",LEFT(D233),""-"",LEFT(E233,2),LEFT(F233,2), ""-R"",REGEXEXTRACT(H233, ""\d+"") )"),"39-Rhi-L-1613-R3")</f>
        <v>39-Rhi-L-1613-R3</v>
      </c>
      <c r="L233" s="8" t="s">
        <v>25</v>
      </c>
      <c r="M233" s="13">
        <v>4.0</v>
      </c>
      <c r="N233" s="14">
        <v>1.15</v>
      </c>
      <c r="O233" s="19">
        <f>SUM(N230:N235)</f>
        <v>6.93</v>
      </c>
      <c r="P233" s="20">
        <f t="shared" si="2"/>
        <v>4.416826004</v>
      </c>
    </row>
    <row r="234">
      <c r="A234" s="6"/>
      <c r="B234" s="21"/>
      <c r="C234" s="22" t="s">
        <v>16</v>
      </c>
      <c r="D234" s="23" t="s">
        <v>17</v>
      </c>
      <c r="E234" s="24" t="s">
        <v>18</v>
      </c>
      <c r="F234" s="25" t="s">
        <v>19</v>
      </c>
      <c r="G234" s="26" t="str">
        <f t="shared" si="1"/>
        <v>16O_13C</v>
      </c>
      <c r="H234" s="45" t="s">
        <v>74</v>
      </c>
      <c r="I234" s="10">
        <v>39.0</v>
      </c>
      <c r="J234" s="11" t="s">
        <v>75</v>
      </c>
      <c r="K234" s="12" t="str">
        <f>IFERROR(__xludf.DUMMYFUNCTION("TEXTJOIN("""",TRUE, REGEXEXTRACT(J234, ""\d+""),""-"",LEFT(C234,3),""-"",LEFT(D234),""-"",LEFT(E234,2),LEFT(F234,2), ""-R"",REGEXEXTRACT(H234, ""\d+"") )"),"39-Rhi-L-1613-R3")</f>
        <v>39-Rhi-L-1613-R3</v>
      </c>
      <c r="L234" s="8" t="s">
        <v>26</v>
      </c>
      <c r="M234" s="13">
        <v>5.0</v>
      </c>
      <c r="N234" s="14">
        <v>1.12</v>
      </c>
      <c r="O234" s="15">
        <f>SUM(N230:N235)</f>
        <v>6.93</v>
      </c>
      <c r="P234" s="16">
        <f t="shared" si="2"/>
        <v>4.416826004</v>
      </c>
    </row>
    <row r="235">
      <c r="A235" s="17"/>
      <c r="B235" s="18"/>
      <c r="C235" s="22" t="s">
        <v>16</v>
      </c>
      <c r="D235" s="23" t="s">
        <v>17</v>
      </c>
      <c r="E235" s="24" t="s">
        <v>18</v>
      </c>
      <c r="F235" s="25" t="s">
        <v>19</v>
      </c>
      <c r="G235" s="26" t="str">
        <f t="shared" si="1"/>
        <v>16O_13C</v>
      </c>
      <c r="H235" s="45" t="s">
        <v>74</v>
      </c>
      <c r="I235" s="10">
        <v>39.0</v>
      </c>
      <c r="J235" s="11" t="s">
        <v>75</v>
      </c>
      <c r="K235" s="12" t="str">
        <f>IFERROR(__xludf.DUMMYFUNCTION("TEXTJOIN("""",TRUE, REGEXEXTRACT(J235, ""\d+""),""-"",LEFT(C235,3),""-"",LEFT(D235),""-"",LEFT(E235,2),LEFT(F235,2), ""-R"",REGEXEXTRACT(H235, ""\d+"") )"),"39-Rhi-L-1613-R3")</f>
        <v>39-Rhi-L-1613-R3</v>
      </c>
      <c r="L235" s="8" t="s">
        <v>27</v>
      </c>
      <c r="M235" s="13">
        <v>6.0</v>
      </c>
      <c r="N235" s="14">
        <v>1.2</v>
      </c>
      <c r="O235" s="19">
        <f>SUM(N230:N235)</f>
        <v>6.93</v>
      </c>
      <c r="P235" s="20">
        <f t="shared" si="2"/>
        <v>4.416826004</v>
      </c>
    </row>
    <row r="236">
      <c r="A236" s="6"/>
      <c r="B236" s="21"/>
      <c r="C236" s="22" t="s">
        <v>16</v>
      </c>
      <c r="D236" s="28" t="s">
        <v>17</v>
      </c>
      <c r="E236" s="29" t="s">
        <v>18</v>
      </c>
      <c r="F236" s="29" t="s">
        <v>28</v>
      </c>
      <c r="G236" s="30" t="str">
        <f t="shared" si="1"/>
        <v>16O_12C</v>
      </c>
      <c r="H236" s="45" t="s">
        <v>74</v>
      </c>
      <c r="I236" s="10">
        <v>40.0</v>
      </c>
      <c r="J236" s="11" t="s">
        <v>76</v>
      </c>
      <c r="K236" s="12" t="str">
        <f>IFERROR(__xludf.DUMMYFUNCTION("TEXTJOIN("""",TRUE, REGEXEXTRACT(J236, ""\d+""),""-"",LEFT(C236,3),""-"",LEFT(D236),""-"",LEFT(E236,2),LEFT(F236,2), ""-R"",REGEXEXTRACT(H236, ""\d+"") )"),"40-Rhi-L-1612-R3")</f>
        <v>40-Rhi-L-1612-R3</v>
      </c>
      <c r="L236" s="8" t="s">
        <v>22</v>
      </c>
      <c r="M236" s="13">
        <v>1.0</v>
      </c>
      <c r="N236" s="14">
        <v>1.18</v>
      </c>
      <c r="O236" s="15">
        <f>SUM(N236:N241)</f>
        <v>6.96</v>
      </c>
      <c r="P236" s="16">
        <f t="shared" si="2"/>
        <v>4.435946463</v>
      </c>
    </row>
    <row r="237">
      <c r="A237" s="17"/>
      <c r="B237" s="18"/>
      <c r="C237" s="22" t="s">
        <v>16</v>
      </c>
      <c r="D237" s="28" t="s">
        <v>17</v>
      </c>
      <c r="E237" s="29" t="s">
        <v>18</v>
      </c>
      <c r="F237" s="29" t="s">
        <v>28</v>
      </c>
      <c r="G237" s="30" t="str">
        <f t="shared" si="1"/>
        <v>16O_12C</v>
      </c>
      <c r="H237" s="45" t="s">
        <v>74</v>
      </c>
      <c r="I237" s="10">
        <v>40.0</v>
      </c>
      <c r="J237" s="11" t="s">
        <v>76</v>
      </c>
      <c r="K237" s="12" t="str">
        <f>IFERROR(__xludf.DUMMYFUNCTION("TEXTJOIN("""",TRUE, REGEXEXTRACT(J237, ""\d+""),""-"",LEFT(C237,3),""-"",LEFT(D237),""-"",LEFT(E237,2),LEFT(F237,2), ""-R"",REGEXEXTRACT(H237, ""\d+"") )"),"40-Rhi-L-1612-R3")</f>
        <v>40-Rhi-L-1612-R3</v>
      </c>
      <c r="L237" s="8" t="s">
        <v>23</v>
      </c>
      <c r="M237" s="13">
        <v>2.0</v>
      </c>
      <c r="N237" s="14">
        <v>1.19</v>
      </c>
      <c r="O237" s="19">
        <f>SUM(N236:N241)</f>
        <v>6.96</v>
      </c>
      <c r="P237" s="20">
        <f t="shared" si="2"/>
        <v>4.435946463</v>
      </c>
    </row>
    <row r="238">
      <c r="A238" s="6"/>
      <c r="B238" s="21"/>
      <c r="C238" s="22" t="s">
        <v>16</v>
      </c>
      <c r="D238" s="28" t="s">
        <v>17</v>
      </c>
      <c r="E238" s="29" t="s">
        <v>18</v>
      </c>
      <c r="F238" s="29" t="s">
        <v>28</v>
      </c>
      <c r="G238" s="30" t="str">
        <f t="shared" si="1"/>
        <v>16O_12C</v>
      </c>
      <c r="H238" s="45" t="s">
        <v>74</v>
      </c>
      <c r="I238" s="10">
        <v>40.0</v>
      </c>
      <c r="J238" s="11" t="s">
        <v>76</v>
      </c>
      <c r="K238" s="12" t="str">
        <f>IFERROR(__xludf.DUMMYFUNCTION("TEXTJOIN("""",TRUE, REGEXEXTRACT(J238, ""\d+""),""-"",LEFT(C238,3),""-"",LEFT(D238),""-"",LEFT(E238,2),LEFT(F238,2), ""-R"",REGEXEXTRACT(H238, ""\d+"") )"),"40-Rhi-L-1612-R3")</f>
        <v>40-Rhi-L-1612-R3</v>
      </c>
      <c r="L238" s="8" t="s">
        <v>24</v>
      </c>
      <c r="M238" s="13">
        <v>3.0</v>
      </c>
      <c r="N238" s="14">
        <v>1.1</v>
      </c>
      <c r="O238" s="15">
        <f>SUM(N236:N241)</f>
        <v>6.96</v>
      </c>
      <c r="P238" s="16">
        <f t="shared" si="2"/>
        <v>4.435946463</v>
      </c>
    </row>
    <row r="239">
      <c r="A239" s="17"/>
      <c r="B239" s="18"/>
      <c r="C239" s="22" t="s">
        <v>16</v>
      </c>
      <c r="D239" s="28" t="s">
        <v>17</v>
      </c>
      <c r="E239" s="29" t="s">
        <v>18</v>
      </c>
      <c r="F239" s="29" t="s">
        <v>28</v>
      </c>
      <c r="G239" s="30" t="str">
        <f t="shared" si="1"/>
        <v>16O_12C</v>
      </c>
      <c r="H239" s="45" t="s">
        <v>74</v>
      </c>
      <c r="I239" s="10">
        <v>40.0</v>
      </c>
      <c r="J239" s="11" t="s">
        <v>76</v>
      </c>
      <c r="K239" s="12" t="str">
        <f>IFERROR(__xludf.DUMMYFUNCTION("TEXTJOIN("""",TRUE, REGEXEXTRACT(J239, ""\d+""),""-"",LEFT(C239,3),""-"",LEFT(D239),""-"",LEFT(E239,2),LEFT(F239,2), ""-R"",REGEXEXTRACT(H239, ""\d+"") )"),"40-Rhi-L-1612-R3")</f>
        <v>40-Rhi-L-1612-R3</v>
      </c>
      <c r="L239" s="8" t="s">
        <v>25</v>
      </c>
      <c r="M239" s="13">
        <v>4.0</v>
      </c>
      <c r="N239" s="14">
        <v>1.14</v>
      </c>
      <c r="O239" s="19">
        <f>SUM(N236:N241)</f>
        <v>6.96</v>
      </c>
      <c r="P239" s="20">
        <f t="shared" si="2"/>
        <v>4.435946463</v>
      </c>
    </row>
    <row r="240">
      <c r="A240" s="6"/>
      <c r="B240" s="21"/>
      <c r="C240" s="22" t="s">
        <v>16</v>
      </c>
      <c r="D240" s="28" t="s">
        <v>17</v>
      </c>
      <c r="E240" s="29" t="s">
        <v>18</v>
      </c>
      <c r="F240" s="29" t="s">
        <v>28</v>
      </c>
      <c r="G240" s="30" t="str">
        <f t="shared" si="1"/>
        <v>16O_12C</v>
      </c>
      <c r="H240" s="45" t="s">
        <v>74</v>
      </c>
      <c r="I240" s="10">
        <v>40.0</v>
      </c>
      <c r="J240" s="11" t="s">
        <v>76</v>
      </c>
      <c r="K240" s="12" t="str">
        <f>IFERROR(__xludf.DUMMYFUNCTION("TEXTJOIN("""",TRUE, REGEXEXTRACT(J240, ""\d+""),""-"",LEFT(C240,3),""-"",LEFT(D240),""-"",LEFT(E240,2),LEFT(F240,2), ""-R"",REGEXEXTRACT(H240, ""\d+"") )"),"40-Rhi-L-1612-R3")</f>
        <v>40-Rhi-L-1612-R3</v>
      </c>
      <c r="L240" s="8" t="s">
        <v>26</v>
      </c>
      <c r="M240" s="13">
        <v>5.0</v>
      </c>
      <c r="N240" s="14">
        <v>1.17</v>
      </c>
      <c r="O240" s="15">
        <f>SUM(N236:N241)</f>
        <v>6.96</v>
      </c>
      <c r="P240" s="16">
        <f t="shared" si="2"/>
        <v>4.435946463</v>
      </c>
    </row>
    <row r="241">
      <c r="A241" s="17"/>
      <c r="B241" s="18"/>
      <c r="C241" s="22" t="s">
        <v>16</v>
      </c>
      <c r="D241" s="28" t="s">
        <v>17</v>
      </c>
      <c r="E241" s="29" t="s">
        <v>18</v>
      </c>
      <c r="F241" s="29" t="s">
        <v>28</v>
      </c>
      <c r="G241" s="30" t="str">
        <f t="shared" si="1"/>
        <v>16O_12C</v>
      </c>
      <c r="H241" s="45" t="s">
        <v>74</v>
      </c>
      <c r="I241" s="10">
        <v>40.0</v>
      </c>
      <c r="J241" s="11" t="s">
        <v>76</v>
      </c>
      <c r="K241" s="12" t="str">
        <f>IFERROR(__xludf.DUMMYFUNCTION("TEXTJOIN("""",TRUE, REGEXEXTRACT(J241, ""\d+""),""-"",LEFT(C241,3),""-"",LEFT(D241),""-"",LEFT(E241,2),LEFT(F241,2), ""-R"",REGEXEXTRACT(H241, ""\d+"") )"),"40-Rhi-L-1612-R3")</f>
        <v>40-Rhi-L-1612-R3</v>
      </c>
      <c r="L241" s="8" t="s">
        <v>27</v>
      </c>
      <c r="M241" s="13">
        <v>6.0</v>
      </c>
      <c r="N241" s="14">
        <v>1.18</v>
      </c>
      <c r="O241" s="19">
        <f>SUM(N236:N241)</f>
        <v>6.96</v>
      </c>
      <c r="P241" s="20">
        <f t="shared" si="2"/>
        <v>4.435946463</v>
      </c>
    </row>
    <row r="242">
      <c r="A242" s="6"/>
      <c r="B242" s="21"/>
      <c r="C242" s="22" t="s">
        <v>16</v>
      </c>
      <c r="D242" s="23" t="s">
        <v>17</v>
      </c>
      <c r="E242" s="25" t="s">
        <v>30</v>
      </c>
      <c r="F242" s="24" t="s">
        <v>28</v>
      </c>
      <c r="G242" s="26" t="str">
        <f t="shared" si="1"/>
        <v>18O_12C</v>
      </c>
      <c r="H242" s="45" t="s">
        <v>74</v>
      </c>
      <c r="I242" s="10">
        <v>41.0</v>
      </c>
      <c r="J242" s="11" t="s">
        <v>77</v>
      </c>
      <c r="K242" s="12" t="str">
        <f>IFERROR(__xludf.DUMMYFUNCTION("TEXTJOIN("""",TRUE, REGEXEXTRACT(J242, ""\d+""),""-"",LEFT(C242,3),""-"",LEFT(D242),""-"",LEFT(E242,2),LEFT(F242,2), ""-R"",REGEXEXTRACT(H242, ""\d+"") )"),"41-Rhi-L-1812-R3")</f>
        <v>41-Rhi-L-1812-R3</v>
      </c>
      <c r="L242" s="8" t="s">
        <v>22</v>
      </c>
      <c r="M242" s="13">
        <v>1.0</v>
      </c>
      <c r="N242" s="14">
        <v>1.14</v>
      </c>
      <c r="O242" s="15">
        <f>SUM(N242:N247)</f>
        <v>6.89</v>
      </c>
      <c r="P242" s="16">
        <f t="shared" si="2"/>
        <v>4.391332059</v>
      </c>
    </row>
    <row r="243">
      <c r="A243" s="17"/>
      <c r="B243" s="18"/>
      <c r="C243" s="22" t="s">
        <v>16</v>
      </c>
      <c r="D243" s="23" t="s">
        <v>17</v>
      </c>
      <c r="E243" s="25" t="s">
        <v>30</v>
      </c>
      <c r="F243" s="24" t="s">
        <v>28</v>
      </c>
      <c r="G243" s="26" t="str">
        <f t="shared" si="1"/>
        <v>18O_12C</v>
      </c>
      <c r="H243" s="45" t="s">
        <v>74</v>
      </c>
      <c r="I243" s="10">
        <v>41.0</v>
      </c>
      <c r="J243" s="11" t="s">
        <v>77</v>
      </c>
      <c r="K243" s="12" t="str">
        <f>IFERROR(__xludf.DUMMYFUNCTION("TEXTJOIN("""",TRUE, REGEXEXTRACT(J243, ""\d+""),""-"",LEFT(C243,3),""-"",LEFT(D243),""-"",LEFT(E243,2),LEFT(F243,2), ""-R"",REGEXEXTRACT(H243, ""\d+"") )"),"41-Rhi-L-1812-R3")</f>
        <v>41-Rhi-L-1812-R3</v>
      </c>
      <c r="L243" s="8" t="s">
        <v>23</v>
      </c>
      <c r="M243" s="13">
        <v>2.0</v>
      </c>
      <c r="N243" s="14">
        <v>1.16</v>
      </c>
      <c r="O243" s="19">
        <f>SUM(N242:N247)</f>
        <v>6.89</v>
      </c>
      <c r="P243" s="20">
        <f t="shared" si="2"/>
        <v>4.391332059</v>
      </c>
    </row>
    <row r="244">
      <c r="A244" s="6"/>
      <c r="B244" s="21"/>
      <c r="C244" s="22" t="s">
        <v>16</v>
      </c>
      <c r="D244" s="23" t="s">
        <v>17</v>
      </c>
      <c r="E244" s="25" t="s">
        <v>30</v>
      </c>
      <c r="F244" s="24" t="s">
        <v>28</v>
      </c>
      <c r="G244" s="26" t="str">
        <f t="shared" si="1"/>
        <v>18O_12C</v>
      </c>
      <c r="H244" s="45" t="s">
        <v>74</v>
      </c>
      <c r="I244" s="10">
        <v>41.0</v>
      </c>
      <c r="J244" s="11" t="s">
        <v>77</v>
      </c>
      <c r="K244" s="12" t="str">
        <f>IFERROR(__xludf.DUMMYFUNCTION("TEXTJOIN("""",TRUE, REGEXEXTRACT(J244, ""\d+""),""-"",LEFT(C244,3),""-"",LEFT(D244),""-"",LEFT(E244,2),LEFT(F244,2), ""-R"",REGEXEXTRACT(H244, ""\d+"") )"),"41-Rhi-L-1812-R3")</f>
        <v>41-Rhi-L-1812-R3</v>
      </c>
      <c r="L244" s="8" t="s">
        <v>24</v>
      </c>
      <c r="M244" s="13">
        <v>3.0</v>
      </c>
      <c r="N244" s="14">
        <v>1.2</v>
      </c>
      <c r="O244" s="15">
        <f>SUM(N242:N247)</f>
        <v>6.89</v>
      </c>
      <c r="P244" s="16">
        <f t="shared" si="2"/>
        <v>4.391332059</v>
      </c>
    </row>
    <row r="245">
      <c r="A245" s="17"/>
      <c r="B245" s="18"/>
      <c r="C245" s="22" t="s">
        <v>16</v>
      </c>
      <c r="D245" s="23" t="s">
        <v>17</v>
      </c>
      <c r="E245" s="25" t="s">
        <v>30</v>
      </c>
      <c r="F245" s="24" t="s">
        <v>28</v>
      </c>
      <c r="G245" s="26" t="str">
        <f t="shared" si="1"/>
        <v>18O_12C</v>
      </c>
      <c r="H245" s="45" t="s">
        <v>74</v>
      </c>
      <c r="I245" s="10">
        <v>41.0</v>
      </c>
      <c r="J245" s="11" t="s">
        <v>77</v>
      </c>
      <c r="K245" s="12" t="str">
        <f>IFERROR(__xludf.DUMMYFUNCTION("TEXTJOIN("""",TRUE, REGEXEXTRACT(J245, ""\d+""),""-"",LEFT(C245,3),""-"",LEFT(D245),""-"",LEFT(E245,2),LEFT(F245,2), ""-R"",REGEXEXTRACT(H245, ""\d+"") )"),"41-Rhi-L-1812-R3")</f>
        <v>41-Rhi-L-1812-R3</v>
      </c>
      <c r="L245" s="8" t="s">
        <v>25</v>
      </c>
      <c r="M245" s="13">
        <v>4.0</v>
      </c>
      <c r="N245" s="14">
        <v>1.07</v>
      </c>
      <c r="O245" s="19">
        <f>SUM(N242:N247)</f>
        <v>6.89</v>
      </c>
      <c r="P245" s="20">
        <f t="shared" si="2"/>
        <v>4.391332059</v>
      </c>
    </row>
    <row r="246">
      <c r="A246" s="6"/>
      <c r="B246" s="21"/>
      <c r="C246" s="22" t="s">
        <v>16</v>
      </c>
      <c r="D246" s="23" t="s">
        <v>17</v>
      </c>
      <c r="E246" s="25" t="s">
        <v>30</v>
      </c>
      <c r="F246" s="24" t="s">
        <v>28</v>
      </c>
      <c r="G246" s="26" t="str">
        <f t="shared" si="1"/>
        <v>18O_12C</v>
      </c>
      <c r="H246" s="45" t="s">
        <v>74</v>
      </c>
      <c r="I246" s="10">
        <v>41.0</v>
      </c>
      <c r="J246" s="11" t="s">
        <v>77</v>
      </c>
      <c r="K246" s="12" t="str">
        <f>IFERROR(__xludf.DUMMYFUNCTION("TEXTJOIN("""",TRUE, REGEXEXTRACT(J246, ""\d+""),""-"",LEFT(C246,3),""-"",LEFT(D246),""-"",LEFT(E246,2),LEFT(F246,2), ""-R"",REGEXEXTRACT(H246, ""\d+"") )"),"41-Rhi-L-1812-R3")</f>
        <v>41-Rhi-L-1812-R3</v>
      </c>
      <c r="L246" s="8" t="s">
        <v>26</v>
      </c>
      <c r="M246" s="13">
        <v>5.0</v>
      </c>
      <c r="N246" s="14">
        <v>1.14</v>
      </c>
      <c r="O246" s="15">
        <f>SUM(N242:N247)</f>
        <v>6.89</v>
      </c>
      <c r="P246" s="16">
        <f t="shared" si="2"/>
        <v>4.391332059</v>
      </c>
    </row>
    <row r="247">
      <c r="A247" s="17"/>
      <c r="B247" s="18"/>
      <c r="C247" s="22" t="s">
        <v>16</v>
      </c>
      <c r="D247" s="23" t="s">
        <v>17</v>
      </c>
      <c r="E247" s="25" t="s">
        <v>30</v>
      </c>
      <c r="F247" s="24" t="s">
        <v>28</v>
      </c>
      <c r="G247" s="26" t="str">
        <f t="shared" si="1"/>
        <v>18O_12C</v>
      </c>
      <c r="H247" s="45" t="s">
        <v>74</v>
      </c>
      <c r="I247" s="10">
        <v>41.0</v>
      </c>
      <c r="J247" s="11" t="s">
        <v>77</v>
      </c>
      <c r="K247" s="12" t="str">
        <f>IFERROR(__xludf.DUMMYFUNCTION("TEXTJOIN("""",TRUE, REGEXEXTRACT(J247, ""\d+""),""-"",LEFT(C247,3),""-"",LEFT(D247),""-"",LEFT(E247,2),LEFT(F247,2), ""-R"",REGEXEXTRACT(H247, ""\d+"") )"),"41-Rhi-L-1812-R3")</f>
        <v>41-Rhi-L-1812-R3</v>
      </c>
      <c r="L247" s="8" t="s">
        <v>27</v>
      </c>
      <c r="M247" s="13">
        <v>6.0</v>
      </c>
      <c r="N247" s="14">
        <v>1.18</v>
      </c>
      <c r="O247" s="19">
        <f>SUM(N242:N247)</f>
        <v>6.89</v>
      </c>
      <c r="P247" s="20">
        <f t="shared" si="2"/>
        <v>4.391332059</v>
      </c>
    </row>
    <row r="248">
      <c r="A248" s="6"/>
      <c r="B248" s="21"/>
      <c r="C248" s="22" t="s">
        <v>16</v>
      </c>
      <c r="D248" s="32" t="s">
        <v>32</v>
      </c>
      <c r="E248" s="29" t="s">
        <v>18</v>
      </c>
      <c r="F248" s="33" t="s">
        <v>19</v>
      </c>
      <c r="G248" s="30" t="str">
        <f t="shared" si="1"/>
        <v>16O_13C</v>
      </c>
      <c r="H248" s="45" t="s">
        <v>74</v>
      </c>
      <c r="I248" s="10">
        <v>42.0</v>
      </c>
      <c r="J248" s="11" t="s">
        <v>78</v>
      </c>
      <c r="K248" s="12" t="str">
        <f>IFERROR(__xludf.DUMMYFUNCTION("TEXTJOIN("""",TRUE, REGEXEXTRACT(J248, ""\d+""),""-"",LEFT(C248,3),""-"",LEFT(D248),""-"",LEFT(E248,2),LEFT(F248,2), ""-R"",REGEXEXTRACT(H248, ""\d+"") )"),"42-Rhi-E-1613-R3")</f>
        <v>42-Rhi-E-1613-R3</v>
      </c>
      <c r="L248" s="8" t="s">
        <v>22</v>
      </c>
      <c r="M248" s="13">
        <v>1.0</v>
      </c>
      <c r="N248" s="14">
        <v>1.1</v>
      </c>
      <c r="O248" s="15">
        <f>SUM(N248:N253)</f>
        <v>6.98</v>
      </c>
      <c r="P248" s="16">
        <f t="shared" si="2"/>
        <v>4.448693435</v>
      </c>
    </row>
    <row r="249">
      <c r="A249" s="17"/>
      <c r="B249" s="18"/>
      <c r="C249" s="22" t="s">
        <v>16</v>
      </c>
      <c r="D249" s="32" t="s">
        <v>32</v>
      </c>
      <c r="E249" s="29" t="s">
        <v>18</v>
      </c>
      <c r="F249" s="33" t="s">
        <v>19</v>
      </c>
      <c r="G249" s="30" t="str">
        <f t="shared" si="1"/>
        <v>16O_13C</v>
      </c>
      <c r="H249" s="45" t="s">
        <v>74</v>
      </c>
      <c r="I249" s="10">
        <v>42.0</v>
      </c>
      <c r="J249" s="11" t="s">
        <v>78</v>
      </c>
      <c r="K249" s="12" t="str">
        <f>IFERROR(__xludf.DUMMYFUNCTION("TEXTJOIN("""",TRUE, REGEXEXTRACT(J249, ""\d+""),""-"",LEFT(C249,3),""-"",LEFT(D249),""-"",LEFT(E249,2),LEFT(F249,2), ""-R"",REGEXEXTRACT(H249, ""\d+"") )"),"42-Rhi-E-1613-R3")</f>
        <v>42-Rhi-E-1613-R3</v>
      </c>
      <c r="L249" s="8" t="s">
        <v>23</v>
      </c>
      <c r="M249" s="13">
        <v>2.0</v>
      </c>
      <c r="N249" s="14">
        <v>1.2</v>
      </c>
      <c r="O249" s="19">
        <f>SUM(N248:N253)</f>
        <v>6.98</v>
      </c>
      <c r="P249" s="20">
        <f t="shared" si="2"/>
        <v>4.448693435</v>
      </c>
    </row>
    <row r="250">
      <c r="A250" s="6"/>
      <c r="B250" s="21"/>
      <c r="C250" s="22" t="s">
        <v>16</v>
      </c>
      <c r="D250" s="32" t="s">
        <v>32</v>
      </c>
      <c r="E250" s="29" t="s">
        <v>18</v>
      </c>
      <c r="F250" s="33" t="s">
        <v>19</v>
      </c>
      <c r="G250" s="30" t="str">
        <f t="shared" si="1"/>
        <v>16O_13C</v>
      </c>
      <c r="H250" s="45" t="s">
        <v>74</v>
      </c>
      <c r="I250" s="10">
        <v>42.0</v>
      </c>
      <c r="J250" s="11" t="s">
        <v>78</v>
      </c>
      <c r="K250" s="12" t="str">
        <f>IFERROR(__xludf.DUMMYFUNCTION("TEXTJOIN("""",TRUE, REGEXEXTRACT(J250, ""\d+""),""-"",LEFT(C250,3),""-"",LEFT(D250),""-"",LEFT(E250,2),LEFT(F250,2), ""-R"",REGEXEXTRACT(H250, ""\d+"") )"),"42-Rhi-E-1613-R3")</f>
        <v>42-Rhi-E-1613-R3</v>
      </c>
      <c r="L250" s="8" t="s">
        <v>24</v>
      </c>
      <c r="M250" s="13">
        <v>3.0</v>
      </c>
      <c r="N250" s="14">
        <v>1.19</v>
      </c>
      <c r="O250" s="15">
        <f>SUM(N248:N253)</f>
        <v>6.98</v>
      </c>
      <c r="P250" s="16">
        <f t="shared" si="2"/>
        <v>4.448693435</v>
      </c>
    </row>
    <row r="251">
      <c r="A251" s="17"/>
      <c r="B251" s="18"/>
      <c r="C251" s="22" t="s">
        <v>16</v>
      </c>
      <c r="D251" s="32" t="s">
        <v>32</v>
      </c>
      <c r="E251" s="29" t="s">
        <v>18</v>
      </c>
      <c r="F251" s="33" t="s">
        <v>19</v>
      </c>
      <c r="G251" s="30" t="str">
        <f t="shared" si="1"/>
        <v>16O_13C</v>
      </c>
      <c r="H251" s="45" t="s">
        <v>74</v>
      </c>
      <c r="I251" s="10">
        <v>42.0</v>
      </c>
      <c r="J251" s="11" t="s">
        <v>78</v>
      </c>
      <c r="K251" s="12" t="str">
        <f>IFERROR(__xludf.DUMMYFUNCTION("TEXTJOIN("""",TRUE, REGEXEXTRACT(J251, ""\d+""),""-"",LEFT(C251,3),""-"",LEFT(D251),""-"",LEFT(E251,2),LEFT(F251,2), ""-R"",REGEXEXTRACT(H251, ""\d+"") )"),"42-Rhi-E-1613-R3")</f>
        <v>42-Rhi-E-1613-R3</v>
      </c>
      <c r="L251" s="8" t="s">
        <v>25</v>
      </c>
      <c r="M251" s="13">
        <v>4.0</v>
      </c>
      <c r="N251" s="14">
        <v>1.16</v>
      </c>
      <c r="O251" s="19">
        <f>SUM(N248:N253)</f>
        <v>6.98</v>
      </c>
      <c r="P251" s="20">
        <f t="shared" si="2"/>
        <v>4.448693435</v>
      </c>
    </row>
    <row r="252">
      <c r="A252" s="6"/>
      <c r="B252" s="21"/>
      <c r="C252" s="22" t="s">
        <v>16</v>
      </c>
      <c r="D252" s="32" t="s">
        <v>32</v>
      </c>
      <c r="E252" s="29" t="s">
        <v>18</v>
      </c>
      <c r="F252" s="33" t="s">
        <v>19</v>
      </c>
      <c r="G252" s="30" t="str">
        <f t="shared" si="1"/>
        <v>16O_13C</v>
      </c>
      <c r="H252" s="45" t="s">
        <v>74</v>
      </c>
      <c r="I252" s="10">
        <v>42.0</v>
      </c>
      <c r="J252" s="11" t="s">
        <v>78</v>
      </c>
      <c r="K252" s="12" t="str">
        <f>IFERROR(__xludf.DUMMYFUNCTION("TEXTJOIN("""",TRUE, REGEXEXTRACT(J252, ""\d+""),""-"",LEFT(C252,3),""-"",LEFT(D252),""-"",LEFT(E252,2),LEFT(F252,2), ""-R"",REGEXEXTRACT(H252, ""\d+"") )"),"42-Rhi-E-1613-R3")</f>
        <v>42-Rhi-E-1613-R3</v>
      </c>
      <c r="L252" s="8" t="s">
        <v>26</v>
      </c>
      <c r="M252" s="13">
        <v>5.0</v>
      </c>
      <c r="N252" s="14">
        <v>1.17</v>
      </c>
      <c r="O252" s="15">
        <f>SUM(N248:N253)</f>
        <v>6.98</v>
      </c>
      <c r="P252" s="16">
        <f t="shared" si="2"/>
        <v>4.448693435</v>
      </c>
    </row>
    <row r="253">
      <c r="A253" s="17"/>
      <c r="B253" s="18"/>
      <c r="C253" s="22" t="s">
        <v>16</v>
      </c>
      <c r="D253" s="32" t="s">
        <v>32</v>
      </c>
      <c r="E253" s="29" t="s">
        <v>18</v>
      </c>
      <c r="F253" s="33" t="s">
        <v>19</v>
      </c>
      <c r="G253" s="30" t="str">
        <f t="shared" si="1"/>
        <v>16O_13C</v>
      </c>
      <c r="H253" s="45" t="s">
        <v>74</v>
      </c>
      <c r="I253" s="10">
        <v>42.0</v>
      </c>
      <c r="J253" s="11" t="s">
        <v>78</v>
      </c>
      <c r="K253" s="12" t="str">
        <f>IFERROR(__xludf.DUMMYFUNCTION("TEXTJOIN("""",TRUE, REGEXEXTRACT(J253, ""\d+""),""-"",LEFT(C253,3),""-"",LEFT(D253),""-"",LEFT(E253,2),LEFT(F253,2), ""-R"",REGEXEXTRACT(H253, ""\d+"") )"),"42-Rhi-E-1613-R3")</f>
        <v>42-Rhi-E-1613-R3</v>
      </c>
      <c r="L253" s="8" t="s">
        <v>27</v>
      </c>
      <c r="M253" s="13">
        <v>6.0</v>
      </c>
      <c r="N253" s="14">
        <v>1.16</v>
      </c>
      <c r="O253" s="19">
        <f>SUM(N248:N253)</f>
        <v>6.98</v>
      </c>
      <c r="P253" s="20">
        <f t="shared" si="2"/>
        <v>4.448693435</v>
      </c>
    </row>
    <row r="254">
      <c r="A254" s="6"/>
      <c r="B254" s="21"/>
      <c r="C254" s="22" t="s">
        <v>16</v>
      </c>
      <c r="D254" s="35" t="s">
        <v>32</v>
      </c>
      <c r="E254" s="24" t="s">
        <v>18</v>
      </c>
      <c r="F254" s="24" t="s">
        <v>28</v>
      </c>
      <c r="G254" s="26" t="str">
        <f t="shared" si="1"/>
        <v>16O_12C</v>
      </c>
      <c r="H254" s="45" t="s">
        <v>74</v>
      </c>
      <c r="I254" s="10">
        <v>43.0</v>
      </c>
      <c r="J254" s="11" t="s">
        <v>79</v>
      </c>
      <c r="K254" s="12" t="str">
        <f>IFERROR(__xludf.DUMMYFUNCTION("TEXTJOIN("""",TRUE, REGEXEXTRACT(J254, ""\d+""),""-"",LEFT(C254,3),""-"",LEFT(D254),""-"",LEFT(E254,2),LEFT(F254,2), ""-R"",REGEXEXTRACT(H254, ""\d+"") )"),"43-Rhi-E-1612-R3")</f>
        <v>43-Rhi-E-1612-R3</v>
      </c>
      <c r="L254" s="8" t="s">
        <v>22</v>
      </c>
      <c r="M254" s="13">
        <v>1.0</v>
      </c>
      <c r="N254" s="14">
        <v>1.15</v>
      </c>
      <c r="O254" s="15">
        <f>SUM(N254:N259)</f>
        <v>7.1</v>
      </c>
      <c r="P254" s="16">
        <f t="shared" si="2"/>
        <v>4.525175271</v>
      </c>
    </row>
    <row r="255">
      <c r="A255" s="17"/>
      <c r="B255" s="18"/>
      <c r="C255" s="22" t="s">
        <v>16</v>
      </c>
      <c r="D255" s="35" t="s">
        <v>32</v>
      </c>
      <c r="E255" s="24" t="s">
        <v>18</v>
      </c>
      <c r="F255" s="24" t="s">
        <v>28</v>
      </c>
      <c r="G255" s="26" t="str">
        <f t="shared" si="1"/>
        <v>16O_12C</v>
      </c>
      <c r="H255" s="45" t="s">
        <v>74</v>
      </c>
      <c r="I255" s="10">
        <v>43.0</v>
      </c>
      <c r="J255" s="11" t="s">
        <v>79</v>
      </c>
      <c r="K255" s="12" t="str">
        <f>IFERROR(__xludf.DUMMYFUNCTION("TEXTJOIN("""",TRUE, REGEXEXTRACT(J255, ""\d+""),""-"",LEFT(C255,3),""-"",LEFT(D255),""-"",LEFT(E255,2),LEFT(F255,2), ""-R"",REGEXEXTRACT(H255, ""\d+"") )"),"43-Rhi-E-1612-R3")</f>
        <v>43-Rhi-E-1612-R3</v>
      </c>
      <c r="L255" s="8" t="s">
        <v>23</v>
      </c>
      <c r="M255" s="13">
        <v>2.0</v>
      </c>
      <c r="N255" s="14">
        <v>1.16</v>
      </c>
      <c r="O255" s="19">
        <f>SUM(N254:N259)</f>
        <v>7.1</v>
      </c>
      <c r="P255" s="20">
        <f t="shared" si="2"/>
        <v>4.525175271</v>
      </c>
    </row>
    <row r="256">
      <c r="A256" s="6"/>
      <c r="B256" s="21"/>
      <c r="C256" s="22" t="s">
        <v>16</v>
      </c>
      <c r="D256" s="35" t="s">
        <v>32</v>
      </c>
      <c r="E256" s="24" t="s">
        <v>18</v>
      </c>
      <c r="F256" s="24" t="s">
        <v>28</v>
      </c>
      <c r="G256" s="26" t="str">
        <f t="shared" si="1"/>
        <v>16O_12C</v>
      </c>
      <c r="H256" s="45" t="s">
        <v>74</v>
      </c>
      <c r="I256" s="10">
        <v>43.0</v>
      </c>
      <c r="J256" s="11" t="s">
        <v>79</v>
      </c>
      <c r="K256" s="12" t="str">
        <f>IFERROR(__xludf.DUMMYFUNCTION("TEXTJOIN("""",TRUE, REGEXEXTRACT(J256, ""\d+""),""-"",LEFT(C256,3),""-"",LEFT(D256),""-"",LEFT(E256,2),LEFT(F256,2), ""-R"",REGEXEXTRACT(H256, ""\d+"") )"),"43-Rhi-E-1612-R3")</f>
        <v>43-Rhi-E-1612-R3</v>
      </c>
      <c r="L256" s="8" t="s">
        <v>24</v>
      </c>
      <c r="M256" s="13">
        <v>3.0</v>
      </c>
      <c r="N256" s="14">
        <v>1.24</v>
      </c>
      <c r="O256" s="15">
        <f>SUM(N254:N259)</f>
        <v>7.1</v>
      </c>
      <c r="P256" s="16">
        <f t="shared" si="2"/>
        <v>4.525175271</v>
      </c>
    </row>
    <row r="257">
      <c r="A257" s="17"/>
      <c r="B257" s="18"/>
      <c r="C257" s="22" t="s">
        <v>16</v>
      </c>
      <c r="D257" s="35" t="s">
        <v>32</v>
      </c>
      <c r="E257" s="24" t="s">
        <v>18</v>
      </c>
      <c r="F257" s="24" t="s">
        <v>28</v>
      </c>
      <c r="G257" s="26" t="str">
        <f t="shared" si="1"/>
        <v>16O_12C</v>
      </c>
      <c r="H257" s="45" t="s">
        <v>74</v>
      </c>
      <c r="I257" s="10">
        <v>43.0</v>
      </c>
      <c r="J257" s="11" t="s">
        <v>79</v>
      </c>
      <c r="K257" s="12" t="str">
        <f>IFERROR(__xludf.DUMMYFUNCTION("TEXTJOIN("""",TRUE, REGEXEXTRACT(J257, ""\d+""),""-"",LEFT(C257,3),""-"",LEFT(D257),""-"",LEFT(E257,2),LEFT(F257,2), ""-R"",REGEXEXTRACT(H257, ""\d+"") )"),"43-Rhi-E-1612-R3")</f>
        <v>43-Rhi-E-1612-R3</v>
      </c>
      <c r="L257" s="8" t="s">
        <v>25</v>
      </c>
      <c r="M257" s="13">
        <v>4.0</v>
      </c>
      <c r="N257" s="14">
        <v>1.16</v>
      </c>
      <c r="O257" s="19">
        <f>SUM(N254:N259)</f>
        <v>7.1</v>
      </c>
      <c r="P257" s="20">
        <f t="shared" si="2"/>
        <v>4.525175271</v>
      </c>
    </row>
    <row r="258">
      <c r="A258" s="6"/>
      <c r="B258" s="21"/>
      <c r="C258" s="22" t="s">
        <v>16</v>
      </c>
      <c r="D258" s="35" t="s">
        <v>32</v>
      </c>
      <c r="E258" s="24" t="s">
        <v>18</v>
      </c>
      <c r="F258" s="24" t="s">
        <v>28</v>
      </c>
      <c r="G258" s="26" t="str">
        <f t="shared" si="1"/>
        <v>16O_12C</v>
      </c>
      <c r="H258" s="45" t="s">
        <v>74</v>
      </c>
      <c r="I258" s="10">
        <v>43.0</v>
      </c>
      <c r="J258" s="11" t="s">
        <v>79</v>
      </c>
      <c r="K258" s="12" t="str">
        <f>IFERROR(__xludf.DUMMYFUNCTION("TEXTJOIN("""",TRUE, REGEXEXTRACT(J258, ""\d+""),""-"",LEFT(C258,3),""-"",LEFT(D258),""-"",LEFT(E258,2),LEFT(F258,2), ""-R"",REGEXEXTRACT(H258, ""\d+"") )"),"43-Rhi-E-1612-R3")</f>
        <v>43-Rhi-E-1612-R3</v>
      </c>
      <c r="L258" s="8" t="s">
        <v>26</v>
      </c>
      <c r="M258" s="13">
        <v>5.0</v>
      </c>
      <c r="N258" s="14">
        <v>1.16</v>
      </c>
      <c r="O258" s="15">
        <f>SUM(N254:N259)</f>
        <v>7.1</v>
      </c>
      <c r="P258" s="16">
        <f t="shared" si="2"/>
        <v>4.525175271</v>
      </c>
    </row>
    <row r="259">
      <c r="A259" s="17"/>
      <c r="B259" s="18"/>
      <c r="C259" s="22" t="s">
        <v>16</v>
      </c>
      <c r="D259" s="35" t="s">
        <v>32</v>
      </c>
      <c r="E259" s="24" t="s">
        <v>18</v>
      </c>
      <c r="F259" s="24" t="s">
        <v>28</v>
      </c>
      <c r="G259" s="26" t="str">
        <f t="shared" si="1"/>
        <v>16O_12C</v>
      </c>
      <c r="H259" s="45" t="s">
        <v>74</v>
      </c>
      <c r="I259" s="10">
        <v>43.0</v>
      </c>
      <c r="J259" s="11" t="s">
        <v>79</v>
      </c>
      <c r="K259" s="12" t="str">
        <f>IFERROR(__xludf.DUMMYFUNCTION("TEXTJOIN("""",TRUE, REGEXEXTRACT(J259, ""\d+""),""-"",LEFT(C259,3),""-"",LEFT(D259),""-"",LEFT(E259,2),LEFT(F259,2), ""-R"",REGEXEXTRACT(H259, ""\d+"") )"),"43-Rhi-E-1612-R3")</f>
        <v>43-Rhi-E-1612-R3</v>
      </c>
      <c r="L259" s="8" t="s">
        <v>27</v>
      </c>
      <c r="M259" s="13">
        <v>6.0</v>
      </c>
      <c r="N259" s="14">
        <v>1.23</v>
      </c>
      <c r="O259" s="19">
        <f>SUM(N254:N259)</f>
        <v>7.1</v>
      </c>
      <c r="P259" s="20">
        <f t="shared" si="2"/>
        <v>4.525175271</v>
      </c>
    </row>
    <row r="260">
      <c r="A260" s="6"/>
      <c r="B260" s="21"/>
      <c r="C260" s="22" t="s">
        <v>16</v>
      </c>
      <c r="D260" s="32" t="s">
        <v>32</v>
      </c>
      <c r="E260" s="33" t="s">
        <v>30</v>
      </c>
      <c r="F260" s="29" t="s">
        <v>28</v>
      </c>
      <c r="G260" s="30" t="str">
        <f t="shared" si="1"/>
        <v>18O_12C</v>
      </c>
      <c r="H260" s="45" t="s">
        <v>74</v>
      </c>
      <c r="I260" s="10">
        <v>44.0</v>
      </c>
      <c r="J260" s="11" t="s">
        <v>80</v>
      </c>
      <c r="K260" s="12" t="str">
        <f>IFERROR(__xludf.DUMMYFUNCTION("TEXTJOIN("""",TRUE, REGEXEXTRACT(J260, ""\d+""),""-"",LEFT(C260,3),""-"",LEFT(D260),""-"",LEFT(E260,2),LEFT(F260,2), ""-R"",REGEXEXTRACT(H260, ""\d+"") )"),"44-Rhi-E-1812-R3")</f>
        <v>44-Rhi-E-1812-R3</v>
      </c>
      <c r="L260" s="8" t="s">
        <v>22</v>
      </c>
      <c r="M260" s="13">
        <v>1.0</v>
      </c>
      <c r="N260" s="14">
        <v>1.15</v>
      </c>
      <c r="O260" s="15">
        <f>SUM(N260:N265)</f>
        <v>6.85</v>
      </c>
      <c r="P260" s="16">
        <f t="shared" si="2"/>
        <v>4.365838113</v>
      </c>
    </row>
    <row r="261">
      <c r="A261" s="17"/>
      <c r="B261" s="18"/>
      <c r="C261" s="22" t="s">
        <v>16</v>
      </c>
      <c r="D261" s="32" t="s">
        <v>32</v>
      </c>
      <c r="E261" s="33" t="s">
        <v>30</v>
      </c>
      <c r="F261" s="29" t="s">
        <v>28</v>
      </c>
      <c r="G261" s="30" t="str">
        <f t="shared" si="1"/>
        <v>18O_12C</v>
      </c>
      <c r="H261" s="45" t="s">
        <v>74</v>
      </c>
      <c r="I261" s="10">
        <v>44.0</v>
      </c>
      <c r="J261" s="11" t="s">
        <v>80</v>
      </c>
      <c r="K261" s="12" t="str">
        <f>IFERROR(__xludf.DUMMYFUNCTION("TEXTJOIN("""",TRUE, REGEXEXTRACT(J261, ""\d+""),""-"",LEFT(C261,3),""-"",LEFT(D261),""-"",LEFT(E261,2),LEFT(F261,2), ""-R"",REGEXEXTRACT(H261, ""\d+"") )"),"44-Rhi-E-1812-R3")</f>
        <v>44-Rhi-E-1812-R3</v>
      </c>
      <c r="L261" s="8" t="s">
        <v>23</v>
      </c>
      <c r="M261" s="13">
        <v>2.0</v>
      </c>
      <c r="N261" s="14">
        <v>1.11</v>
      </c>
      <c r="O261" s="19">
        <f>SUM(N260:N265)</f>
        <v>6.85</v>
      </c>
      <c r="P261" s="20">
        <f t="shared" si="2"/>
        <v>4.365838113</v>
      </c>
    </row>
    <row r="262">
      <c r="A262" s="6"/>
      <c r="B262" s="21"/>
      <c r="C262" s="22" t="s">
        <v>16</v>
      </c>
      <c r="D262" s="32" t="s">
        <v>32</v>
      </c>
      <c r="E262" s="33" t="s">
        <v>30</v>
      </c>
      <c r="F262" s="29" t="s">
        <v>28</v>
      </c>
      <c r="G262" s="30" t="str">
        <f t="shared" si="1"/>
        <v>18O_12C</v>
      </c>
      <c r="H262" s="45" t="s">
        <v>74</v>
      </c>
      <c r="I262" s="10">
        <v>44.0</v>
      </c>
      <c r="J262" s="11" t="s">
        <v>80</v>
      </c>
      <c r="K262" s="12" t="str">
        <f>IFERROR(__xludf.DUMMYFUNCTION("TEXTJOIN("""",TRUE, REGEXEXTRACT(J262, ""\d+""),""-"",LEFT(C262,3),""-"",LEFT(D262),""-"",LEFT(E262,2),LEFT(F262,2), ""-R"",REGEXEXTRACT(H262, ""\d+"") )"),"44-Rhi-E-1812-R3")</f>
        <v>44-Rhi-E-1812-R3</v>
      </c>
      <c r="L262" s="8" t="s">
        <v>24</v>
      </c>
      <c r="M262" s="13">
        <v>3.0</v>
      </c>
      <c r="N262" s="14">
        <v>1.19</v>
      </c>
      <c r="O262" s="15">
        <f>SUM(N260:N265)</f>
        <v>6.85</v>
      </c>
      <c r="P262" s="16">
        <f t="shared" si="2"/>
        <v>4.365838113</v>
      </c>
    </row>
    <row r="263">
      <c r="A263" s="17"/>
      <c r="B263" s="18"/>
      <c r="C263" s="22" t="s">
        <v>16</v>
      </c>
      <c r="D263" s="32" t="s">
        <v>32</v>
      </c>
      <c r="E263" s="33" t="s">
        <v>30</v>
      </c>
      <c r="F263" s="29" t="s">
        <v>28</v>
      </c>
      <c r="G263" s="30" t="str">
        <f t="shared" si="1"/>
        <v>18O_12C</v>
      </c>
      <c r="H263" s="45" t="s">
        <v>74</v>
      </c>
      <c r="I263" s="10">
        <v>44.0</v>
      </c>
      <c r="J263" s="11" t="s">
        <v>80</v>
      </c>
      <c r="K263" s="12" t="str">
        <f>IFERROR(__xludf.DUMMYFUNCTION("TEXTJOIN("""",TRUE, REGEXEXTRACT(J263, ""\d+""),""-"",LEFT(C263,3),""-"",LEFT(D263),""-"",LEFT(E263,2),LEFT(F263,2), ""-R"",REGEXEXTRACT(H263, ""\d+"") )"),"44-Rhi-E-1812-R3")</f>
        <v>44-Rhi-E-1812-R3</v>
      </c>
      <c r="L263" s="8" t="s">
        <v>25</v>
      </c>
      <c r="M263" s="13">
        <v>4.0</v>
      </c>
      <c r="N263" s="14">
        <v>1.16</v>
      </c>
      <c r="O263" s="19">
        <f>SUM(N260:N265)</f>
        <v>6.85</v>
      </c>
      <c r="P263" s="20">
        <f t="shared" si="2"/>
        <v>4.365838113</v>
      </c>
    </row>
    <row r="264">
      <c r="A264" s="6"/>
      <c r="B264" s="21"/>
      <c r="C264" s="22" t="s">
        <v>16</v>
      </c>
      <c r="D264" s="32" t="s">
        <v>32</v>
      </c>
      <c r="E264" s="33" t="s">
        <v>30</v>
      </c>
      <c r="F264" s="29" t="s">
        <v>28</v>
      </c>
      <c r="G264" s="30" t="str">
        <f t="shared" si="1"/>
        <v>18O_12C</v>
      </c>
      <c r="H264" s="45" t="s">
        <v>74</v>
      </c>
      <c r="I264" s="10">
        <v>44.0</v>
      </c>
      <c r="J264" s="11" t="s">
        <v>80</v>
      </c>
      <c r="K264" s="12" t="str">
        <f>IFERROR(__xludf.DUMMYFUNCTION("TEXTJOIN("""",TRUE, REGEXEXTRACT(J264, ""\d+""),""-"",LEFT(C264,3),""-"",LEFT(D264),""-"",LEFT(E264,2),LEFT(F264,2), ""-R"",REGEXEXTRACT(H264, ""\d+"") )"),"44-Rhi-E-1812-R3")</f>
        <v>44-Rhi-E-1812-R3</v>
      </c>
      <c r="L264" s="8" t="s">
        <v>26</v>
      </c>
      <c r="M264" s="13">
        <v>5.0</v>
      </c>
      <c r="N264" s="14">
        <v>1.09</v>
      </c>
      <c r="O264" s="15">
        <f>SUM(N260:N265)</f>
        <v>6.85</v>
      </c>
      <c r="P264" s="16">
        <f t="shared" si="2"/>
        <v>4.365838113</v>
      </c>
    </row>
    <row r="265">
      <c r="A265" s="17"/>
      <c r="B265" s="18"/>
      <c r="C265" s="22" t="s">
        <v>16</v>
      </c>
      <c r="D265" s="32" t="s">
        <v>32</v>
      </c>
      <c r="E265" s="33" t="s">
        <v>30</v>
      </c>
      <c r="F265" s="29" t="s">
        <v>28</v>
      </c>
      <c r="G265" s="30" t="str">
        <f t="shared" si="1"/>
        <v>18O_12C</v>
      </c>
      <c r="H265" s="45" t="s">
        <v>74</v>
      </c>
      <c r="I265" s="10">
        <v>44.0</v>
      </c>
      <c r="J265" s="11" t="s">
        <v>80</v>
      </c>
      <c r="K265" s="12" t="str">
        <f>IFERROR(__xludf.DUMMYFUNCTION("TEXTJOIN("""",TRUE, REGEXEXTRACT(J265, ""\d+""),""-"",LEFT(C265,3),""-"",LEFT(D265),""-"",LEFT(E265,2),LEFT(F265,2), ""-R"",REGEXEXTRACT(H265, ""\d+"") )"),"44-Rhi-E-1812-R3")</f>
        <v>44-Rhi-E-1812-R3</v>
      </c>
      <c r="L265" s="8" t="s">
        <v>27</v>
      </c>
      <c r="M265" s="13">
        <v>6.0</v>
      </c>
      <c r="N265" s="14">
        <v>1.15</v>
      </c>
      <c r="O265" s="19">
        <f>SUM(N260:N265)</f>
        <v>6.85</v>
      </c>
      <c r="P265" s="20">
        <f t="shared" si="2"/>
        <v>4.365838113</v>
      </c>
    </row>
    <row r="266">
      <c r="A266" s="6"/>
      <c r="B266" s="21"/>
      <c r="C266" s="22" t="s">
        <v>16</v>
      </c>
      <c r="D266" s="36" t="s">
        <v>36</v>
      </c>
      <c r="E266" s="24" t="s">
        <v>18</v>
      </c>
      <c r="F266" s="37" t="s">
        <v>37</v>
      </c>
      <c r="G266" s="26" t="str">
        <f t="shared" si="1"/>
        <v>16O_No C</v>
      </c>
      <c r="H266" s="45" t="s">
        <v>74</v>
      </c>
      <c r="I266" s="10">
        <v>45.0</v>
      </c>
      <c r="J266" s="11" t="s">
        <v>81</v>
      </c>
      <c r="K266" s="12" t="str">
        <f>IFERROR(__xludf.DUMMYFUNCTION("TEXTJOIN("""",TRUE, REGEXEXTRACT(J266, ""\d+""),""-"",LEFT(C266,3),""-"",LEFT(D266),""-"",LEFT(E266,2),LEFT(F266,2), ""-R"",REGEXEXTRACT(H266, ""\d+"") )"),"45-Rhi-N-16No-R3")</f>
        <v>45-Rhi-N-16No-R3</v>
      </c>
      <c r="L266" s="8" t="s">
        <v>22</v>
      </c>
      <c r="M266" s="13">
        <v>1.0</v>
      </c>
      <c r="N266" s="14">
        <v>1.1</v>
      </c>
      <c r="O266" s="15">
        <f>SUM(N266:N271)</f>
        <v>6.93</v>
      </c>
      <c r="P266" s="16">
        <f t="shared" si="2"/>
        <v>4.416826004</v>
      </c>
    </row>
    <row r="267">
      <c r="A267" s="17"/>
      <c r="B267" s="18"/>
      <c r="C267" s="22" t="s">
        <v>16</v>
      </c>
      <c r="D267" s="36" t="s">
        <v>36</v>
      </c>
      <c r="E267" s="24" t="s">
        <v>18</v>
      </c>
      <c r="F267" s="37" t="s">
        <v>37</v>
      </c>
      <c r="G267" s="26" t="str">
        <f t="shared" si="1"/>
        <v>16O_No C</v>
      </c>
      <c r="H267" s="45" t="s">
        <v>74</v>
      </c>
      <c r="I267" s="10">
        <v>45.0</v>
      </c>
      <c r="J267" s="11" t="s">
        <v>81</v>
      </c>
      <c r="K267" s="12" t="str">
        <f>IFERROR(__xludf.DUMMYFUNCTION("TEXTJOIN("""",TRUE, REGEXEXTRACT(J267, ""\d+""),""-"",LEFT(C267,3),""-"",LEFT(D267),""-"",LEFT(E267,2),LEFT(F267,2), ""-R"",REGEXEXTRACT(H267, ""\d+"") )"),"45-Rhi-N-16No-R3")</f>
        <v>45-Rhi-N-16No-R3</v>
      </c>
      <c r="L267" s="8" t="s">
        <v>23</v>
      </c>
      <c r="M267" s="13">
        <v>2.0</v>
      </c>
      <c r="N267" s="14">
        <v>1.19</v>
      </c>
      <c r="O267" s="19">
        <f>SUM(N266:N271)</f>
        <v>6.93</v>
      </c>
      <c r="P267" s="20">
        <f t="shared" si="2"/>
        <v>4.416826004</v>
      </c>
    </row>
    <row r="268">
      <c r="A268" s="6"/>
      <c r="B268" s="21"/>
      <c r="C268" s="22" t="s">
        <v>16</v>
      </c>
      <c r="D268" s="36" t="s">
        <v>36</v>
      </c>
      <c r="E268" s="24" t="s">
        <v>18</v>
      </c>
      <c r="F268" s="37" t="s">
        <v>37</v>
      </c>
      <c r="G268" s="26" t="str">
        <f t="shared" si="1"/>
        <v>16O_No C</v>
      </c>
      <c r="H268" s="45" t="s">
        <v>74</v>
      </c>
      <c r="I268" s="10">
        <v>45.0</v>
      </c>
      <c r="J268" s="11" t="s">
        <v>81</v>
      </c>
      <c r="K268" s="12" t="str">
        <f>IFERROR(__xludf.DUMMYFUNCTION("TEXTJOIN("""",TRUE, REGEXEXTRACT(J268, ""\d+""),""-"",LEFT(C268,3),""-"",LEFT(D268),""-"",LEFT(E268,2),LEFT(F268,2), ""-R"",REGEXEXTRACT(H268, ""\d+"") )"),"45-Rhi-N-16No-R3")</f>
        <v>45-Rhi-N-16No-R3</v>
      </c>
      <c r="L268" s="8" t="s">
        <v>24</v>
      </c>
      <c r="M268" s="13">
        <v>3.0</v>
      </c>
      <c r="N268" s="14">
        <v>1.16</v>
      </c>
      <c r="O268" s="15">
        <f>SUM(N266:N271)</f>
        <v>6.93</v>
      </c>
      <c r="P268" s="16">
        <f t="shared" si="2"/>
        <v>4.416826004</v>
      </c>
    </row>
    <row r="269">
      <c r="A269" s="17"/>
      <c r="B269" s="18"/>
      <c r="C269" s="22" t="s">
        <v>16</v>
      </c>
      <c r="D269" s="36" t="s">
        <v>36</v>
      </c>
      <c r="E269" s="24" t="s">
        <v>18</v>
      </c>
      <c r="F269" s="37" t="s">
        <v>37</v>
      </c>
      <c r="G269" s="26" t="str">
        <f t="shared" si="1"/>
        <v>16O_No C</v>
      </c>
      <c r="H269" s="45" t="s">
        <v>74</v>
      </c>
      <c r="I269" s="10">
        <v>45.0</v>
      </c>
      <c r="J269" s="11" t="s">
        <v>81</v>
      </c>
      <c r="K269" s="12" t="str">
        <f>IFERROR(__xludf.DUMMYFUNCTION("TEXTJOIN("""",TRUE, REGEXEXTRACT(J269, ""\d+""),""-"",LEFT(C269,3),""-"",LEFT(D269),""-"",LEFT(E269,2),LEFT(F269,2), ""-R"",REGEXEXTRACT(H269, ""\d+"") )"),"45-Rhi-N-16No-R3")</f>
        <v>45-Rhi-N-16No-R3</v>
      </c>
      <c r="L269" s="8" t="s">
        <v>25</v>
      </c>
      <c r="M269" s="13">
        <v>4.0</v>
      </c>
      <c r="N269" s="14">
        <v>1.08</v>
      </c>
      <c r="O269" s="19">
        <f>SUM(N266:N271)</f>
        <v>6.93</v>
      </c>
      <c r="P269" s="20">
        <f t="shared" si="2"/>
        <v>4.416826004</v>
      </c>
    </row>
    <row r="270">
      <c r="A270" s="6"/>
      <c r="B270" s="21"/>
      <c r="C270" s="22" t="s">
        <v>16</v>
      </c>
      <c r="D270" s="36" t="s">
        <v>36</v>
      </c>
      <c r="E270" s="24" t="s">
        <v>18</v>
      </c>
      <c r="F270" s="37" t="s">
        <v>37</v>
      </c>
      <c r="G270" s="26" t="str">
        <f t="shared" si="1"/>
        <v>16O_No C</v>
      </c>
      <c r="H270" s="45" t="s">
        <v>74</v>
      </c>
      <c r="I270" s="10">
        <v>45.0</v>
      </c>
      <c r="J270" s="11" t="s">
        <v>81</v>
      </c>
      <c r="K270" s="12" t="str">
        <f>IFERROR(__xludf.DUMMYFUNCTION("TEXTJOIN("""",TRUE, REGEXEXTRACT(J270, ""\d+""),""-"",LEFT(C270,3),""-"",LEFT(D270),""-"",LEFT(E270,2),LEFT(F270,2), ""-R"",REGEXEXTRACT(H270, ""\d+"") )"),"45-Rhi-N-16No-R3")</f>
        <v>45-Rhi-N-16No-R3</v>
      </c>
      <c r="L270" s="8" t="s">
        <v>26</v>
      </c>
      <c r="M270" s="13">
        <v>5.0</v>
      </c>
      <c r="N270" s="14">
        <v>1.22</v>
      </c>
      <c r="O270" s="15">
        <f>SUM(N266:N271)</f>
        <v>6.93</v>
      </c>
      <c r="P270" s="16">
        <f t="shared" si="2"/>
        <v>4.416826004</v>
      </c>
    </row>
    <row r="271">
      <c r="A271" s="17"/>
      <c r="B271" s="18"/>
      <c r="C271" s="22" t="s">
        <v>16</v>
      </c>
      <c r="D271" s="36" t="s">
        <v>36</v>
      </c>
      <c r="E271" s="24" t="s">
        <v>18</v>
      </c>
      <c r="F271" s="37" t="s">
        <v>37</v>
      </c>
      <c r="G271" s="26" t="str">
        <f t="shared" si="1"/>
        <v>16O_No C</v>
      </c>
      <c r="H271" s="45" t="s">
        <v>74</v>
      </c>
      <c r="I271" s="10">
        <v>45.0</v>
      </c>
      <c r="J271" s="11" t="s">
        <v>81</v>
      </c>
      <c r="K271" s="12" t="str">
        <f>IFERROR(__xludf.DUMMYFUNCTION("TEXTJOIN("""",TRUE, REGEXEXTRACT(J271, ""\d+""),""-"",LEFT(C271,3),""-"",LEFT(D271),""-"",LEFT(E271,2),LEFT(F271,2), ""-R"",REGEXEXTRACT(H271, ""\d+"") )"),"45-Rhi-N-16No-R3")</f>
        <v>45-Rhi-N-16No-R3</v>
      </c>
      <c r="L271" s="8" t="s">
        <v>27</v>
      </c>
      <c r="M271" s="13">
        <v>6.0</v>
      </c>
      <c r="N271" s="14">
        <v>1.18</v>
      </c>
      <c r="O271" s="19">
        <f>SUM(N266:N271)</f>
        <v>6.93</v>
      </c>
      <c r="P271" s="20">
        <f t="shared" si="2"/>
        <v>4.416826004</v>
      </c>
    </row>
    <row r="272">
      <c r="A272" s="6"/>
      <c r="B272" s="21"/>
      <c r="C272" s="22" t="s">
        <v>16</v>
      </c>
      <c r="D272" s="38" t="s">
        <v>36</v>
      </c>
      <c r="E272" s="33" t="s">
        <v>30</v>
      </c>
      <c r="F272" s="39" t="s">
        <v>37</v>
      </c>
      <c r="G272" s="30" t="str">
        <f t="shared" si="1"/>
        <v>18O_No C</v>
      </c>
      <c r="H272" s="45" t="s">
        <v>74</v>
      </c>
      <c r="I272" s="10">
        <v>46.0</v>
      </c>
      <c r="J272" s="11" t="s">
        <v>82</v>
      </c>
      <c r="K272" s="12" t="str">
        <f>IFERROR(__xludf.DUMMYFUNCTION("TEXTJOIN("""",TRUE, REGEXEXTRACT(J272, ""\d+""),""-"",LEFT(C272,3),""-"",LEFT(D272),""-"",LEFT(E272,2),LEFT(F272,2), ""-R"",REGEXEXTRACT(H272, ""\d+"") )"),"46-Rhi-N-18No-R3")</f>
        <v>46-Rhi-N-18No-R3</v>
      </c>
      <c r="L272" s="8" t="s">
        <v>22</v>
      </c>
      <c r="M272" s="13">
        <v>1.0</v>
      </c>
      <c r="N272" s="14">
        <v>1.14</v>
      </c>
      <c r="O272" s="15">
        <f>SUM(N272:N277)</f>
        <v>6.8</v>
      </c>
      <c r="P272" s="16">
        <f t="shared" si="2"/>
        <v>4.333970682</v>
      </c>
    </row>
    <row r="273">
      <c r="A273" s="17"/>
      <c r="B273" s="18"/>
      <c r="C273" s="22" t="s">
        <v>16</v>
      </c>
      <c r="D273" s="38" t="s">
        <v>36</v>
      </c>
      <c r="E273" s="33" t="s">
        <v>30</v>
      </c>
      <c r="F273" s="39" t="s">
        <v>37</v>
      </c>
      <c r="G273" s="30" t="str">
        <f t="shared" si="1"/>
        <v>18O_No C</v>
      </c>
      <c r="H273" s="45" t="s">
        <v>74</v>
      </c>
      <c r="I273" s="10">
        <v>46.0</v>
      </c>
      <c r="J273" s="11" t="s">
        <v>82</v>
      </c>
      <c r="K273" s="12" t="str">
        <f>IFERROR(__xludf.DUMMYFUNCTION("TEXTJOIN("""",TRUE, REGEXEXTRACT(J273, ""\d+""),""-"",LEFT(C273,3),""-"",LEFT(D273),""-"",LEFT(E273,2),LEFT(F273,2), ""-R"",REGEXEXTRACT(H273, ""\d+"") )"),"46-Rhi-N-18No-R3")</f>
        <v>46-Rhi-N-18No-R3</v>
      </c>
      <c r="L273" s="8" t="s">
        <v>23</v>
      </c>
      <c r="M273" s="13">
        <v>2.0</v>
      </c>
      <c r="N273" s="14">
        <v>1.13</v>
      </c>
      <c r="O273" s="19">
        <f>SUM(N272:N277)</f>
        <v>6.8</v>
      </c>
      <c r="P273" s="20">
        <f t="shared" si="2"/>
        <v>4.333970682</v>
      </c>
    </row>
    <row r="274">
      <c r="A274" s="6"/>
      <c r="B274" s="21"/>
      <c r="C274" s="22" t="s">
        <v>16</v>
      </c>
      <c r="D274" s="38" t="s">
        <v>36</v>
      </c>
      <c r="E274" s="33" t="s">
        <v>30</v>
      </c>
      <c r="F274" s="39" t="s">
        <v>37</v>
      </c>
      <c r="G274" s="30" t="str">
        <f t="shared" si="1"/>
        <v>18O_No C</v>
      </c>
      <c r="H274" s="45" t="s">
        <v>74</v>
      </c>
      <c r="I274" s="10">
        <v>46.0</v>
      </c>
      <c r="J274" s="11" t="s">
        <v>82</v>
      </c>
      <c r="K274" s="12" t="str">
        <f>IFERROR(__xludf.DUMMYFUNCTION("TEXTJOIN("""",TRUE, REGEXEXTRACT(J274, ""\d+""),""-"",LEFT(C274,3),""-"",LEFT(D274),""-"",LEFT(E274,2),LEFT(F274,2), ""-R"",REGEXEXTRACT(H274, ""\d+"") )"),"46-Rhi-N-18No-R3")</f>
        <v>46-Rhi-N-18No-R3</v>
      </c>
      <c r="L274" s="8" t="s">
        <v>24</v>
      </c>
      <c r="M274" s="13">
        <v>3.0</v>
      </c>
      <c r="N274" s="14">
        <v>1.14</v>
      </c>
      <c r="O274" s="15">
        <f>SUM(N272:N277)</f>
        <v>6.8</v>
      </c>
      <c r="P274" s="16">
        <f t="shared" si="2"/>
        <v>4.333970682</v>
      </c>
    </row>
    <row r="275">
      <c r="A275" s="17"/>
      <c r="B275" s="18"/>
      <c r="C275" s="22" t="s">
        <v>16</v>
      </c>
      <c r="D275" s="38" t="s">
        <v>36</v>
      </c>
      <c r="E275" s="33" t="s">
        <v>30</v>
      </c>
      <c r="F275" s="39" t="s">
        <v>37</v>
      </c>
      <c r="G275" s="30" t="str">
        <f t="shared" si="1"/>
        <v>18O_No C</v>
      </c>
      <c r="H275" s="45" t="s">
        <v>74</v>
      </c>
      <c r="I275" s="10">
        <v>46.0</v>
      </c>
      <c r="J275" s="11" t="s">
        <v>82</v>
      </c>
      <c r="K275" s="12" t="str">
        <f>IFERROR(__xludf.DUMMYFUNCTION("TEXTJOIN("""",TRUE, REGEXEXTRACT(J275, ""\d+""),""-"",LEFT(C275,3),""-"",LEFT(D275),""-"",LEFT(E275,2),LEFT(F275,2), ""-R"",REGEXEXTRACT(H275, ""\d+"") )"),"46-Rhi-N-18No-R3")</f>
        <v>46-Rhi-N-18No-R3</v>
      </c>
      <c r="L275" s="8" t="s">
        <v>25</v>
      </c>
      <c r="M275" s="13">
        <v>4.0</v>
      </c>
      <c r="N275" s="14">
        <v>1.12</v>
      </c>
      <c r="O275" s="19">
        <f>SUM(N272:N277)</f>
        <v>6.8</v>
      </c>
      <c r="P275" s="20">
        <f t="shared" si="2"/>
        <v>4.333970682</v>
      </c>
    </row>
    <row r="276">
      <c r="A276" s="6"/>
      <c r="B276" s="21"/>
      <c r="C276" s="22" t="s">
        <v>16</v>
      </c>
      <c r="D276" s="38" t="s">
        <v>36</v>
      </c>
      <c r="E276" s="33" t="s">
        <v>30</v>
      </c>
      <c r="F276" s="39" t="s">
        <v>37</v>
      </c>
      <c r="G276" s="30" t="str">
        <f t="shared" si="1"/>
        <v>18O_No C</v>
      </c>
      <c r="H276" s="45" t="s">
        <v>74</v>
      </c>
      <c r="I276" s="10">
        <v>46.0</v>
      </c>
      <c r="J276" s="11" t="s">
        <v>82</v>
      </c>
      <c r="K276" s="12" t="str">
        <f>IFERROR(__xludf.DUMMYFUNCTION("TEXTJOIN("""",TRUE, REGEXEXTRACT(J276, ""\d+""),""-"",LEFT(C276,3),""-"",LEFT(D276),""-"",LEFT(E276,2),LEFT(F276,2), ""-R"",REGEXEXTRACT(H276, ""\d+"") )"),"46-Rhi-N-18No-R3")</f>
        <v>46-Rhi-N-18No-R3</v>
      </c>
      <c r="L276" s="8" t="s">
        <v>26</v>
      </c>
      <c r="M276" s="13">
        <v>5.0</v>
      </c>
      <c r="N276" s="14">
        <v>1.12</v>
      </c>
      <c r="O276" s="15">
        <f>SUM(N272:N277)</f>
        <v>6.8</v>
      </c>
      <c r="P276" s="16">
        <f t="shared" si="2"/>
        <v>4.333970682</v>
      </c>
    </row>
    <row r="277">
      <c r="A277" s="17"/>
      <c r="B277" s="18"/>
      <c r="C277" s="22" t="s">
        <v>16</v>
      </c>
      <c r="D277" s="38" t="s">
        <v>36</v>
      </c>
      <c r="E277" s="33" t="s">
        <v>30</v>
      </c>
      <c r="F277" s="39" t="s">
        <v>37</v>
      </c>
      <c r="G277" s="30" t="str">
        <f t="shared" si="1"/>
        <v>18O_No C</v>
      </c>
      <c r="H277" s="45" t="s">
        <v>74</v>
      </c>
      <c r="I277" s="10">
        <v>46.0</v>
      </c>
      <c r="J277" s="11" t="s">
        <v>82</v>
      </c>
      <c r="K277" s="12" t="str">
        <f>IFERROR(__xludf.DUMMYFUNCTION("TEXTJOIN("""",TRUE, REGEXEXTRACT(J277, ""\d+""),""-"",LEFT(C277,3),""-"",LEFT(D277),""-"",LEFT(E277,2),LEFT(F277,2), ""-R"",REGEXEXTRACT(H277, ""\d+"") )"),"46-Rhi-N-18No-R3")</f>
        <v>46-Rhi-N-18No-R3</v>
      </c>
      <c r="L277" s="8" t="s">
        <v>27</v>
      </c>
      <c r="M277" s="13">
        <v>6.0</v>
      </c>
      <c r="N277" s="14">
        <v>1.15</v>
      </c>
      <c r="O277" s="19">
        <f>SUM(N272:N277)</f>
        <v>6.8</v>
      </c>
      <c r="P277" s="20">
        <f t="shared" si="2"/>
        <v>4.333970682</v>
      </c>
    </row>
    <row r="278">
      <c r="A278" s="6"/>
      <c r="B278" s="21"/>
      <c r="C278" s="47" t="s">
        <v>40</v>
      </c>
      <c r="D278" s="23" t="s">
        <v>17</v>
      </c>
      <c r="E278" s="24" t="s">
        <v>18</v>
      </c>
      <c r="F278" s="25" t="s">
        <v>19</v>
      </c>
      <c r="G278" s="26" t="str">
        <f t="shared" si="1"/>
        <v>16O_13C</v>
      </c>
      <c r="H278" s="45" t="s">
        <v>74</v>
      </c>
      <c r="I278" s="10">
        <v>47.0</v>
      </c>
      <c r="J278" s="11" t="s">
        <v>83</v>
      </c>
      <c r="K278" s="12" t="str">
        <f>IFERROR(__xludf.DUMMYFUNCTION("TEXTJOIN("""",TRUE, REGEXEXTRACT(J278, ""\d+""),""-"",LEFT(C278,3),""-"",LEFT(D278),""-"",LEFT(E278,2),LEFT(F278,2), ""-R"",REGEXEXTRACT(H278, ""\d+"") )"),"47-Act-L-1613-R3")</f>
        <v>47-Act-L-1613-R3</v>
      </c>
      <c r="L278" s="8" t="s">
        <v>22</v>
      </c>
      <c r="M278" s="13">
        <v>1.0</v>
      </c>
      <c r="N278" s="14">
        <v>1.15</v>
      </c>
      <c r="O278" s="15">
        <f>SUM(N278:N283)</f>
        <v>7.14</v>
      </c>
      <c r="P278" s="16">
        <f t="shared" si="2"/>
        <v>4.550669216</v>
      </c>
    </row>
    <row r="279">
      <c r="A279" s="17"/>
      <c r="B279" s="18"/>
      <c r="C279" s="47" t="s">
        <v>40</v>
      </c>
      <c r="D279" s="23" t="s">
        <v>17</v>
      </c>
      <c r="E279" s="24" t="s">
        <v>18</v>
      </c>
      <c r="F279" s="25" t="s">
        <v>19</v>
      </c>
      <c r="G279" s="26" t="str">
        <f t="shared" si="1"/>
        <v>16O_13C</v>
      </c>
      <c r="H279" s="45" t="s">
        <v>74</v>
      </c>
      <c r="I279" s="10">
        <v>47.0</v>
      </c>
      <c r="J279" s="11" t="s">
        <v>83</v>
      </c>
      <c r="K279" s="12" t="str">
        <f>IFERROR(__xludf.DUMMYFUNCTION("TEXTJOIN("""",TRUE, REGEXEXTRACT(J279, ""\d+""),""-"",LEFT(C279,3),""-"",LEFT(D279),""-"",LEFT(E279,2),LEFT(F279,2), ""-R"",REGEXEXTRACT(H279, ""\d+"") )"),"47-Act-L-1613-R3")</f>
        <v>47-Act-L-1613-R3</v>
      </c>
      <c r="L279" s="8" t="s">
        <v>23</v>
      </c>
      <c r="M279" s="13">
        <v>2.0</v>
      </c>
      <c r="N279" s="14">
        <v>1.18</v>
      </c>
      <c r="O279" s="19">
        <f>SUM(N278:N283)</f>
        <v>7.14</v>
      </c>
      <c r="P279" s="20">
        <f t="shared" si="2"/>
        <v>4.550669216</v>
      </c>
    </row>
    <row r="280">
      <c r="A280" s="6"/>
      <c r="B280" s="21"/>
      <c r="C280" s="47" t="s">
        <v>40</v>
      </c>
      <c r="D280" s="23" t="s">
        <v>17</v>
      </c>
      <c r="E280" s="24" t="s">
        <v>18</v>
      </c>
      <c r="F280" s="25" t="s">
        <v>19</v>
      </c>
      <c r="G280" s="26" t="str">
        <f t="shared" si="1"/>
        <v>16O_13C</v>
      </c>
      <c r="H280" s="45" t="s">
        <v>74</v>
      </c>
      <c r="I280" s="10">
        <v>47.0</v>
      </c>
      <c r="J280" s="11" t="s">
        <v>83</v>
      </c>
      <c r="K280" s="12" t="str">
        <f>IFERROR(__xludf.DUMMYFUNCTION("TEXTJOIN("""",TRUE, REGEXEXTRACT(J280, ""\d+""),""-"",LEFT(C280,3),""-"",LEFT(D280),""-"",LEFT(E280,2),LEFT(F280,2), ""-R"",REGEXEXTRACT(H280, ""\d+"") )"),"47-Act-L-1613-R3")</f>
        <v>47-Act-L-1613-R3</v>
      </c>
      <c r="L280" s="8" t="s">
        <v>24</v>
      </c>
      <c r="M280" s="13">
        <v>3.0</v>
      </c>
      <c r="N280" s="14">
        <v>1.25</v>
      </c>
      <c r="O280" s="15">
        <f>SUM(N278:N283)</f>
        <v>7.14</v>
      </c>
      <c r="P280" s="16">
        <f t="shared" si="2"/>
        <v>4.550669216</v>
      </c>
    </row>
    <row r="281">
      <c r="A281" s="17"/>
      <c r="B281" s="18"/>
      <c r="C281" s="47" t="s">
        <v>40</v>
      </c>
      <c r="D281" s="23" t="s">
        <v>17</v>
      </c>
      <c r="E281" s="24" t="s">
        <v>18</v>
      </c>
      <c r="F281" s="25" t="s">
        <v>19</v>
      </c>
      <c r="G281" s="26" t="str">
        <f t="shared" si="1"/>
        <v>16O_13C</v>
      </c>
      <c r="H281" s="45" t="s">
        <v>74</v>
      </c>
      <c r="I281" s="10">
        <v>47.0</v>
      </c>
      <c r="J281" s="11" t="s">
        <v>83</v>
      </c>
      <c r="K281" s="12" t="str">
        <f>IFERROR(__xludf.DUMMYFUNCTION("TEXTJOIN("""",TRUE, REGEXEXTRACT(J281, ""\d+""),""-"",LEFT(C281,3),""-"",LEFT(D281),""-"",LEFT(E281,2),LEFT(F281,2), ""-R"",REGEXEXTRACT(H281, ""\d+"") )"),"47-Act-L-1613-R3")</f>
        <v>47-Act-L-1613-R3</v>
      </c>
      <c r="L281" s="8" t="s">
        <v>25</v>
      </c>
      <c r="M281" s="13">
        <v>4.0</v>
      </c>
      <c r="N281" s="14">
        <v>1.19</v>
      </c>
      <c r="O281" s="19">
        <f>SUM(N278:N283)</f>
        <v>7.14</v>
      </c>
      <c r="P281" s="20">
        <f t="shared" si="2"/>
        <v>4.550669216</v>
      </c>
    </row>
    <row r="282">
      <c r="A282" s="6"/>
      <c r="B282" s="21"/>
      <c r="C282" s="47" t="s">
        <v>40</v>
      </c>
      <c r="D282" s="23" t="s">
        <v>17</v>
      </c>
      <c r="E282" s="24" t="s">
        <v>18</v>
      </c>
      <c r="F282" s="25" t="s">
        <v>19</v>
      </c>
      <c r="G282" s="26" t="str">
        <f t="shared" si="1"/>
        <v>16O_13C</v>
      </c>
      <c r="H282" s="45" t="s">
        <v>74</v>
      </c>
      <c r="I282" s="10">
        <v>47.0</v>
      </c>
      <c r="J282" s="11" t="s">
        <v>83</v>
      </c>
      <c r="K282" s="12" t="str">
        <f>IFERROR(__xludf.DUMMYFUNCTION("TEXTJOIN("""",TRUE, REGEXEXTRACT(J282, ""\d+""),""-"",LEFT(C282,3),""-"",LEFT(D282),""-"",LEFT(E282,2),LEFT(F282,2), ""-R"",REGEXEXTRACT(H282, ""\d+"") )"),"47-Act-L-1613-R3")</f>
        <v>47-Act-L-1613-R3</v>
      </c>
      <c r="L282" s="8" t="s">
        <v>26</v>
      </c>
      <c r="M282" s="13">
        <v>5.0</v>
      </c>
      <c r="N282" s="14">
        <v>1.18</v>
      </c>
      <c r="O282" s="15">
        <f>SUM(N278:N283)</f>
        <v>7.14</v>
      </c>
      <c r="P282" s="16">
        <f t="shared" si="2"/>
        <v>4.550669216</v>
      </c>
    </row>
    <row r="283">
      <c r="A283" s="17"/>
      <c r="B283" s="18"/>
      <c r="C283" s="47" t="s">
        <v>40</v>
      </c>
      <c r="D283" s="23" t="s">
        <v>17</v>
      </c>
      <c r="E283" s="24" t="s">
        <v>18</v>
      </c>
      <c r="F283" s="25" t="s">
        <v>19</v>
      </c>
      <c r="G283" s="26" t="str">
        <f t="shared" si="1"/>
        <v>16O_13C</v>
      </c>
      <c r="H283" s="45" t="s">
        <v>74</v>
      </c>
      <c r="I283" s="10">
        <v>47.0</v>
      </c>
      <c r="J283" s="11" t="s">
        <v>83</v>
      </c>
      <c r="K283" s="12" t="str">
        <f>IFERROR(__xludf.DUMMYFUNCTION("TEXTJOIN("""",TRUE, REGEXEXTRACT(J283, ""\d+""),""-"",LEFT(C283,3),""-"",LEFT(D283),""-"",LEFT(E283,2),LEFT(F283,2), ""-R"",REGEXEXTRACT(H283, ""\d+"") )"),"47-Act-L-1613-R3")</f>
        <v>47-Act-L-1613-R3</v>
      </c>
      <c r="L283" s="8" t="s">
        <v>27</v>
      </c>
      <c r="M283" s="13">
        <v>6.0</v>
      </c>
      <c r="N283" s="14">
        <v>1.19</v>
      </c>
      <c r="O283" s="19">
        <f>SUM(N278:N283)</f>
        <v>7.14</v>
      </c>
      <c r="P283" s="20">
        <f t="shared" si="2"/>
        <v>4.550669216</v>
      </c>
    </row>
    <row r="284">
      <c r="A284" s="6"/>
      <c r="B284" s="21"/>
      <c r="C284" s="48" t="s">
        <v>40</v>
      </c>
      <c r="D284" s="28" t="s">
        <v>17</v>
      </c>
      <c r="E284" s="29" t="s">
        <v>18</v>
      </c>
      <c r="F284" s="29" t="s">
        <v>28</v>
      </c>
      <c r="G284" s="30" t="str">
        <f t="shared" si="1"/>
        <v>16O_12C</v>
      </c>
      <c r="H284" s="45" t="s">
        <v>74</v>
      </c>
      <c r="I284" s="10">
        <v>48.0</v>
      </c>
      <c r="J284" s="11" t="s">
        <v>84</v>
      </c>
      <c r="K284" s="12" t="str">
        <f>IFERROR(__xludf.DUMMYFUNCTION("TEXTJOIN("""",TRUE, REGEXEXTRACT(J284, ""\d+""),""-"",LEFT(C284,3),""-"",LEFT(D284),""-"",LEFT(E284,2),LEFT(F284,2), ""-R"",REGEXEXTRACT(H284, ""\d+"") )"),"48-Act-L-1612-R3")</f>
        <v>48-Act-L-1612-R3</v>
      </c>
      <c r="L284" s="8" t="s">
        <v>22</v>
      </c>
      <c r="M284" s="13">
        <v>1.0</v>
      </c>
      <c r="N284" s="14">
        <v>1.14</v>
      </c>
      <c r="O284" s="15">
        <f>SUM(N284:N289)</f>
        <v>6.82</v>
      </c>
      <c r="P284" s="16">
        <f t="shared" si="2"/>
        <v>4.346717655</v>
      </c>
    </row>
    <row r="285">
      <c r="A285" s="17"/>
      <c r="B285" s="18"/>
      <c r="C285" s="48" t="s">
        <v>40</v>
      </c>
      <c r="D285" s="28" t="s">
        <v>17</v>
      </c>
      <c r="E285" s="29" t="s">
        <v>18</v>
      </c>
      <c r="F285" s="29" t="s">
        <v>28</v>
      </c>
      <c r="G285" s="30" t="str">
        <f t="shared" si="1"/>
        <v>16O_12C</v>
      </c>
      <c r="H285" s="45" t="s">
        <v>74</v>
      </c>
      <c r="I285" s="10">
        <v>48.0</v>
      </c>
      <c r="J285" s="11" t="s">
        <v>84</v>
      </c>
      <c r="K285" s="12" t="str">
        <f>IFERROR(__xludf.DUMMYFUNCTION("TEXTJOIN("""",TRUE, REGEXEXTRACT(J285, ""\d+""),""-"",LEFT(C285,3),""-"",LEFT(D285),""-"",LEFT(E285,2),LEFT(F285,2), ""-R"",REGEXEXTRACT(H285, ""\d+"") )"),"48-Act-L-1612-R3")</f>
        <v>48-Act-L-1612-R3</v>
      </c>
      <c r="L285" s="8" t="s">
        <v>23</v>
      </c>
      <c r="M285" s="13">
        <v>2.0</v>
      </c>
      <c r="N285" s="14">
        <v>1.13</v>
      </c>
      <c r="O285" s="19">
        <f>SUM(N284:N289)</f>
        <v>6.82</v>
      </c>
      <c r="P285" s="20">
        <f t="shared" si="2"/>
        <v>4.346717655</v>
      </c>
    </row>
    <row r="286">
      <c r="A286" s="6"/>
      <c r="B286" s="21"/>
      <c r="C286" s="48" t="s">
        <v>40</v>
      </c>
      <c r="D286" s="28" t="s">
        <v>17</v>
      </c>
      <c r="E286" s="29" t="s">
        <v>18</v>
      </c>
      <c r="F286" s="29" t="s">
        <v>28</v>
      </c>
      <c r="G286" s="30" t="str">
        <f t="shared" si="1"/>
        <v>16O_12C</v>
      </c>
      <c r="H286" s="45" t="s">
        <v>74</v>
      </c>
      <c r="I286" s="10">
        <v>48.0</v>
      </c>
      <c r="J286" s="11" t="s">
        <v>84</v>
      </c>
      <c r="K286" s="12" t="str">
        <f>IFERROR(__xludf.DUMMYFUNCTION("TEXTJOIN("""",TRUE, REGEXEXTRACT(J286, ""\d+""),""-"",LEFT(C286,3),""-"",LEFT(D286),""-"",LEFT(E286,2),LEFT(F286,2), ""-R"",REGEXEXTRACT(H286, ""\d+"") )"),"48-Act-L-1612-R3")</f>
        <v>48-Act-L-1612-R3</v>
      </c>
      <c r="L286" s="8" t="s">
        <v>24</v>
      </c>
      <c r="M286" s="13">
        <v>3.0</v>
      </c>
      <c r="N286" s="14">
        <v>1.14</v>
      </c>
      <c r="O286" s="15">
        <f>SUM(N284:N289)</f>
        <v>6.82</v>
      </c>
      <c r="P286" s="16">
        <f t="shared" si="2"/>
        <v>4.346717655</v>
      </c>
    </row>
    <row r="287">
      <c r="A287" s="17"/>
      <c r="B287" s="18"/>
      <c r="C287" s="48" t="s">
        <v>40</v>
      </c>
      <c r="D287" s="28" t="s">
        <v>17</v>
      </c>
      <c r="E287" s="29" t="s">
        <v>18</v>
      </c>
      <c r="F287" s="29" t="s">
        <v>28</v>
      </c>
      <c r="G287" s="30" t="str">
        <f t="shared" si="1"/>
        <v>16O_12C</v>
      </c>
      <c r="H287" s="45" t="s">
        <v>74</v>
      </c>
      <c r="I287" s="10">
        <v>48.0</v>
      </c>
      <c r="J287" s="11" t="s">
        <v>84</v>
      </c>
      <c r="K287" s="12" t="str">
        <f>IFERROR(__xludf.DUMMYFUNCTION("TEXTJOIN("""",TRUE, REGEXEXTRACT(J287, ""\d+""),""-"",LEFT(C287,3),""-"",LEFT(D287),""-"",LEFT(E287,2),LEFT(F287,2), ""-R"",REGEXEXTRACT(H287, ""\d+"") )"),"48-Act-L-1612-R3")</f>
        <v>48-Act-L-1612-R3</v>
      </c>
      <c r="L287" s="8" t="s">
        <v>25</v>
      </c>
      <c r="M287" s="13">
        <v>4.0</v>
      </c>
      <c r="N287" s="14">
        <v>1.13</v>
      </c>
      <c r="O287" s="19">
        <f>SUM(N284:N289)</f>
        <v>6.82</v>
      </c>
      <c r="P287" s="20">
        <f t="shared" si="2"/>
        <v>4.346717655</v>
      </c>
    </row>
    <row r="288">
      <c r="A288" s="6"/>
      <c r="B288" s="21"/>
      <c r="C288" s="48" t="s">
        <v>40</v>
      </c>
      <c r="D288" s="28" t="s">
        <v>17</v>
      </c>
      <c r="E288" s="29" t="s">
        <v>18</v>
      </c>
      <c r="F288" s="29" t="s">
        <v>28</v>
      </c>
      <c r="G288" s="30" t="str">
        <f t="shared" si="1"/>
        <v>16O_12C</v>
      </c>
      <c r="H288" s="45" t="s">
        <v>74</v>
      </c>
      <c r="I288" s="10">
        <v>48.0</v>
      </c>
      <c r="J288" s="11" t="s">
        <v>84</v>
      </c>
      <c r="K288" s="12" t="str">
        <f>IFERROR(__xludf.DUMMYFUNCTION("TEXTJOIN("""",TRUE, REGEXEXTRACT(J288, ""\d+""),""-"",LEFT(C288,3),""-"",LEFT(D288),""-"",LEFT(E288,2),LEFT(F288,2), ""-R"",REGEXEXTRACT(H288, ""\d+"") )"),"48-Act-L-1612-R3")</f>
        <v>48-Act-L-1612-R3</v>
      </c>
      <c r="L288" s="8" t="s">
        <v>26</v>
      </c>
      <c r="M288" s="13">
        <v>5.0</v>
      </c>
      <c r="N288" s="14">
        <v>1.15</v>
      </c>
      <c r="O288" s="15">
        <f>SUM(N284:N289)</f>
        <v>6.82</v>
      </c>
      <c r="P288" s="16">
        <f t="shared" si="2"/>
        <v>4.346717655</v>
      </c>
    </row>
    <row r="289">
      <c r="A289" s="17"/>
      <c r="B289" s="18"/>
      <c r="C289" s="48" t="s">
        <v>40</v>
      </c>
      <c r="D289" s="28" t="s">
        <v>17</v>
      </c>
      <c r="E289" s="29" t="s">
        <v>18</v>
      </c>
      <c r="F289" s="29" t="s">
        <v>28</v>
      </c>
      <c r="G289" s="30" t="str">
        <f t="shared" si="1"/>
        <v>16O_12C</v>
      </c>
      <c r="H289" s="45" t="s">
        <v>74</v>
      </c>
      <c r="I289" s="10">
        <v>48.0</v>
      </c>
      <c r="J289" s="11" t="s">
        <v>84</v>
      </c>
      <c r="K289" s="12" t="str">
        <f>IFERROR(__xludf.DUMMYFUNCTION("TEXTJOIN("""",TRUE, REGEXEXTRACT(J289, ""\d+""),""-"",LEFT(C289,3),""-"",LEFT(D289),""-"",LEFT(E289,2),LEFT(F289,2), ""-R"",REGEXEXTRACT(H289, ""\d+"") )"),"48-Act-L-1612-R3")</f>
        <v>48-Act-L-1612-R3</v>
      </c>
      <c r="L289" s="8" t="s">
        <v>27</v>
      </c>
      <c r="M289" s="13">
        <v>6.0</v>
      </c>
      <c r="N289" s="14">
        <v>1.13</v>
      </c>
      <c r="O289" s="19">
        <f>SUM(N284:N289)</f>
        <v>6.82</v>
      </c>
      <c r="P289" s="20">
        <f t="shared" si="2"/>
        <v>4.346717655</v>
      </c>
    </row>
    <row r="290">
      <c r="A290" s="6"/>
      <c r="B290" s="21"/>
      <c r="C290" s="47" t="s">
        <v>40</v>
      </c>
      <c r="D290" s="23" t="s">
        <v>17</v>
      </c>
      <c r="E290" s="25" t="s">
        <v>30</v>
      </c>
      <c r="F290" s="24" t="s">
        <v>28</v>
      </c>
      <c r="G290" s="26" t="str">
        <f t="shared" si="1"/>
        <v>18O_12C</v>
      </c>
      <c r="H290" s="45" t="s">
        <v>74</v>
      </c>
      <c r="I290" s="10">
        <v>49.0</v>
      </c>
      <c r="J290" s="11" t="s">
        <v>85</v>
      </c>
      <c r="K290" s="12" t="str">
        <f>IFERROR(__xludf.DUMMYFUNCTION("TEXTJOIN("""",TRUE, REGEXEXTRACT(J290, ""\d+""),""-"",LEFT(C290,3),""-"",LEFT(D290),""-"",LEFT(E290,2),LEFT(F290,2), ""-R"",REGEXEXTRACT(H290, ""\d+"") )"),"49-Act-L-1812-R3")</f>
        <v>49-Act-L-1812-R3</v>
      </c>
      <c r="L290" s="8" t="s">
        <v>22</v>
      </c>
      <c r="M290" s="13">
        <v>1.0</v>
      </c>
      <c r="N290" s="14">
        <v>1.24</v>
      </c>
      <c r="O290" s="15">
        <f>SUM(N290:N295)</f>
        <v>7.19</v>
      </c>
      <c r="P290" s="16">
        <f t="shared" si="2"/>
        <v>4.582536648</v>
      </c>
    </row>
    <row r="291">
      <c r="A291" s="17"/>
      <c r="B291" s="18"/>
      <c r="C291" s="47" t="s">
        <v>40</v>
      </c>
      <c r="D291" s="23" t="s">
        <v>17</v>
      </c>
      <c r="E291" s="25" t="s">
        <v>30</v>
      </c>
      <c r="F291" s="24" t="s">
        <v>28</v>
      </c>
      <c r="G291" s="26" t="str">
        <f t="shared" si="1"/>
        <v>18O_12C</v>
      </c>
      <c r="H291" s="45" t="s">
        <v>74</v>
      </c>
      <c r="I291" s="10">
        <v>49.0</v>
      </c>
      <c r="J291" s="11" t="s">
        <v>85</v>
      </c>
      <c r="K291" s="12" t="str">
        <f>IFERROR(__xludf.DUMMYFUNCTION("TEXTJOIN("""",TRUE, REGEXEXTRACT(J291, ""\d+""),""-"",LEFT(C291,3),""-"",LEFT(D291),""-"",LEFT(E291,2),LEFT(F291,2), ""-R"",REGEXEXTRACT(H291, ""\d+"") )"),"49-Act-L-1812-R3")</f>
        <v>49-Act-L-1812-R3</v>
      </c>
      <c r="L291" s="8" t="s">
        <v>23</v>
      </c>
      <c r="M291" s="13">
        <v>2.0</v>
      </c>
      <c r="N291" s="14">
        <v>1.19</v>
      </c>
      <c r="O291" s="19">
        <f>SUM(N290:N295)</f>
        <v>7.19</v>
      </c>
      <c r="P291" s="20">
        <f t="shared" si="2"/>
        <v>4.582536648</v>
      </c>
    </row>
    <row r="292">
      <c r="A292" s="6"/>
      <c r="B292" s="21"/>
      <c r="C292" s="47" t="s">
        <v>40</v>
      </c>
      <c r="D292" s="23" t="s">
        <v>17</v>
      </c>
      <c r="E292" s="25" t="s">
        <v>30</v>
      </c>
      <c r="F292" s="24" t="s">
        <v>28</v>
      </c>
      <c r="G292" s="26" t="str">
        <f t="shared" si="1"/>
        <v>18O_12C</v>
      </c>
      <c r="H292" s="45" t="s">
        <v>74</v>
      </c>
      <c r="I292" s="10">
        <v>49.0</v>
      </c>
      <c r="J292" s="11" t="s">
        <v>85</v>
      </c>
      <c r="K292" s="12" t="str">
        <f>IFERROR(__xludf.DUMMYFUNCTION("TEXTJOIN("""",TRUE, REGEXEXTRACT(J292, ""\d+""),""-"",LEFT(C292,3),""-"",LEFT(D292),""-"",LEFT(E292,2),LEFT(F292,2), ""-R"",REGEXEXTRACT(H292, ""\d+"") )"),"49-Act-L-1812-R3")</f>
        <v>49-Act-L-1812-R3</v>
      </c>
      <c r="L292" s="8" t="s">
        <v>24</v>
      </c>
      <c r="M292" s="13">
        <v>3.0</v>
      </c>
      <c r="N292" s="14">
        <v>1.18</v>
      </c>
      <c r="O292" s="15">
        <f>SUM(N290:N295)</f>
        <v>7.19</v>
      </c>
      <c r="P292" s="16">
        <f t="shared" si="2"/>
        <v>4.582536648</v>
      </c>
    </row>
    <row r="293">
      <c r="A293" s="17"/>
      <c r="B293" s="18"/>
      <c r="C293" s="47" t="s">
        <v>40</v>
      </c>
      <c r="D293" s="23" t="s">
        <v>17</v>
      </c>
      <c r="E293" s="25" t="s">
        <v>30</v>
      </c>
      <c r="F293" s="24" t="s">
        <v>28</v>
      </c>
      <c r="G293" s="26" t="str">
        <f t="shared" si="1"/>
        <v>18O_12C</v>
      </c>
      <c r="H293" s="45" t="s">
        <v>74</v>
      </c>
      <c r="I293" s="10">
        <v>49.0</v>
      </c>
      <c r="J293" s="11" t="s">
        <v>85</v>
      </c>
      <c r="K293" s="12" t="str">
        <f>IFERROR(__xludf.DUMMYFUNCTION("TEXTJOIN("""",TRUE, REGEXEXTRACT(J293, ""\d+""),""-"",LEFT(C293,3),""-"",LEFT(D293),""-"",LEFT(E293,2),LEFT(F293,2), ""-R"",REGEXEXTRACT(H293, ""\d+"") )"),"49-Act-L-1812-R3")</f>
        <v>49-Act-L-1812-R3</v>
      </c>
      <c r="L293" s="8" t="s">
        <v>25</v>
      </c>
      <c r="M293" s="13">
        <v>4.0</v>
      </c>
      <c r="N293" s="14">
        <v>1.22</v>
      </c>
      <c r="O293" s="19">
        <f>SUM(N290:N295)</f>
        <v>7.19</v>
      </c>
      <c r="P293" s="20">
        <f t="shared" si="2"/>
        <v>4.582536648</v>
      </c>
    </row>
    <row r="294">
      <c r="A294" s="6"/>
      <c r="B294" s="21"/>
      <c r="C294" s="47" t="s">
        <v>40</v>
      </c>
      <c r="D294" s="23" t="s">
        <v>17</v>
      </c>
      <c r="E294" s="25" t="s">
        <v>30</v>
      </c>
      <c r="F294" s="24" t="s">
        <v>28</v>
      </c>
      <c r="G294" s="26" t="str">
        <f t="shared" si="1"/>
        <v>18O_12C</v>
      </c>
      <c r="H294" s="45" t="s">
        <v>74</v>
      </c>
      <c r="I294" s="10">
        <v>49.0</v>
      </c>
      <c r="J294" s="11" t="s">
        <v>85</v>
      </c>
      <c r="K294" s="12" t="str">
        <f>IFERROR(__xludf.DUMMYFUNCTION("TEXTJOIN("""",TRUE, REGEXEXTRACT(J294, ""\d+""),""-"",LEFT(C294,3),""-"",LEFT(D294),""-"",LEFT(E294,2),LEFT(F294,2), ""-R"",REGEXEXTRACT(H294, ""\d+"") )"),"49-Act-L-1812-R3")</f>
        <v>49-Act-L-1812-R3</v>
      </c>
      <c r="L294" s="8" t="s">
        <v>26</v>
      </c>
      <c r="M294" s="13">
        <v>5.0</v>
      </c>
      <c r="N294" s="14">
        <v>1.18</v>
      </c>
      <c r="O294" s="15">
        <f>SUM(N290:N295)</f>
        <v>7.19</v>
      </c>
      <c r="P294" s="16">
        <f t="shared" si="2"/>
        <v>4.582536648</v>
      </c>
    </row>
    <row r="295">
      <c r="A295" s="17"/>
      <c r="B295" s="18"/>
      <c r="C295" s="47" t="s">
        <v>40</v>
      </c>
      <c r="D295" s="23" t="s">
        <v>17</v>
      </c>
      <c r="E295" s="25" t="s">
        <v>30</v>
      </c>
      <c r="F295" s="24" t="s">
        <v>28</v>
      </c>
      <c r="G295" s="26" t="str">
        <f t="shared" si="1"/>
        <v>18O_12C</v>
      </c>
      <c r="H295" s="45" t="s">
        <v>74</v>
      </c>
      <c r="I295" s="10">
        <v>49.0</v>
      </c>
      <c r="J295" s="11" t="s">
        <v>85</v>
      </c>
      <c r="K295" s="12" t="str">
        <f>IFERROR(__xludf.DUMMYFUNCTION("TEXTJOIN("""",TRUE, REGEXEXTRACT(J295, ""\d+""),""-"",LEFT(C295,3),""-"",LEFT(D295),""-"",LEFT(E295,2),LEFT(F295,2), ""-R"",REGEXEXTRACT(H295, ""\d+"") )"),"49-Act-L-1812-R3")</f>
        <v>49-Act-L-1812-R3</v>
      </c>
      <c r="L295" s="8" t="s">
        <v>27</v>
      </c>
      <c r="M295" s="13">
        <v>6.0</v>
      </c>
      <c r="N295" s="14">
        <v>1.18</v>
      </c>
      <c r="O295" s="19">
        <f>SUM(N290:N295)</f>
        <v>7.19</v>
      </c>
      <c r="P295" s="20">
        <f t="shared" si="2"/>
        <v>4.582536648</v>
      </c>
    </row>
    <row r="296">
      <c r="A296" s="6"/>
      <c r="B296" s="21"/>
      <c r="C296" s="48" t="s">
        <v>40</v>
      </c>
      <c r="D296" s="32" t="s">
        <v>32</v>
      </c>
      <c r="E296" s="29" t="s">
        <v>18</v>
      </c>
      <c r="F296" s="33" t="s">
        <v>19</v>
      </c>
      <c r="G296" s="30" t="str">
        <f t="shared" si="1"/>
        <v>16O_13C</v>
      </c>
      <c r="H296" s="45" t="s">
        <v>74</v>
      </c>
      <c r="I296" s="10">
        <v>50.0</v>
      </c>
      <c r="J296" s="11" t="s">
        <v>86</v>
      </c>
      <c r="K296" s="12" t="str">
        <f>IFERROR(__xludf.DUMMYFUNCTION("TEXTJOIN("""",TRUE, REGEXEXTRACT(J296, ""\d+""),""-"",LEFT(C296,3),""-"",LEFT(D296),""-"",LEFT(E296,2),LEFT(F296,2), ""-R"",REGEXEXTRACT(H296, ""\d+"") )"),"50-Act-E-1613-R3")</f>
        <v>50-Act-E-1613-R3</v>
      </c>
      <c r="L296" s="8" t="s">
        <v>22</v>
      </c>
      <c r="M296" s="13">
        <v>1.0</v>
      </c>
      <c r="N296" s="14">
        <v>1.22</v>
      </c>
      <c r="O296" s="15">
        <f>SUM(N296:N301)</f>
        <v>7.19</v>
      </c>
      <c r="P296" s="16">
        <f t="shared" si="2"/>
        <v>4.582536648</v>
      </c>
    </row>
    <row r="297">
      <c r="A297" s="17"/>
      <c r="B297" s="18"/>
      <c r="C297" s="48" t="s">
        <v>40</v>
      </c>
      <c r="D297" s="32" t="s">
        <v>32</v>
      </c>
      <c r="E297" s="29" t="s">
        <v>18</v>
      </c>
      <c r="F297" s="33" t="s">
        <v>19</v>
      </c>
      <c r="G297" s="30" t="str">
        <f t="shared" si="1"/>
        <v>16O_13C</v>
      </c>
      <c r="H297" s="45" t="s">
        <v>74</v>
      </c>
      <c r="I297" s="10">
        <v>50.0</v>
      </c>
      <c r="J297" s="11" t="s">
        <v>86</v>
      </c>
      <c r="K297" s="12" t="str">
        <f>IFERROR(__xludf.DUMMYFUNCTION("TEXTJOIN("""",TRUE, REGEXEXTRACT(J297, ""\d+""),""-"",LEFT(C297,3),""-"",LEFT(D297),""-"",LEFT(E297,2),LEFT(F297,2), ""-R"",REGEXEXTRACT(H297, ""\d+"") )"),"50-Act-E-1613-R3")</f>
        <v>50-Act-E-1613-R3</v>
      </c>
      <c r="L297" s="8" t="s">
        <v>23</v>
      </c>
      <c r="M297" s="13">
        <v>2.0</v>
      </c>
      <c r="N297" s="14">
        <v>1.15</v>
      </c>
      <c r="O297" s="19">
        <f>SUM(N296:N301)</f>
        <v>7.19</v>
      </c>
      <c r="P297" s="20">
        <f t="shared" si="2"/>
        <v>4.582536648</v>
      </c>
    </row>
    <row r="298">
      <c r="A298" s="6"/>
      <c r="B298" s="21"/>
      <c r="C298" s="48" t="s">
        <v>40</v>
      </c>
      <c r="D298" s="32" t="s">
        <v>32</v>
      </c>
      <c r="E298" s="29" t="s">
        <v>18</v>
      </c>
      <c r="F298" s="33" t="s">
        <v>19</v>
      </c>
      <c r="G298" s="30" t="str">
        <f t="shared" si="1"/>
        <v>16O_13C</v>
      </c>
      <c r="H298" s="45" t="s">
        <v>74</v>
      </c>
      <c r="I298" s="10">
        <v>50.0</v>
      </c>
      <c r="J298" s="11" t="s">
        <v>86</v>
      </c>
      <c r="K298" s="12" t="str">
        <f>IFERROR(__xludf.DUMMYFUNCTION("TEXTJOIN("""",TRUE, REGEXEXTRACT(J298, ""\d+""),""-"",LEFT(C298,3),""-"",LEFT(D298),""-"",LEFT(E298,2),LEFT(F298,2), ""-R"",REGEXEXTRACT(H298, ""\d+"") )"),"50-Act-E-1613-R3")</f>
        <v>50-Act-E-1613-R3</v>
      </c>
      <c r="L298" s="8" t="s">
        <v>24</v>
      </c>
      <c r="M298" s="13">
        <v>3.0</v>
      </c>
      <c r="N298" s="14">
        <v>1.22</v>
      </c>
      <c r="O298" s="15">
        <f>SUM(N296:N301)</f>
        <v>7.19</v>
      </c>
      <c r="P298" s="16">
        <f t="shared" si="2"/>
        <v>4.582536648</v>
      </c>
    </row>
    <row r="299">
      <c r="A299" s="17"/>
      <c r="B299" s="18"/>
      <c r="C299" s="48" t="s">
        <v>40</v>
      </c>
      <c r="D299" s="32" t="s">
        <v>32</v>
      </c>
      <c r="E299" s="29" t="s">
        <v>18</v>
      </c>
      <c r="F299" s="33" t="s">
        <v>19</v>
      </c>
      <c r="G299" s="30" t="str">
        <f t="shared" si="1"/>
        <v>16O_13C</v>
      </c>
      <c r="H299" s="45" t="s">
        <v>74</v>
      </c>
      <c r="I299" s="10">
        <v>50.0</v>
      </c>
      <c r="J299" s="11" t="s">
        <v>86</v>
      </c>
      <c r="K299" s="12" t="str">
        <f>IFERROR(__xludf.DUMMYFUNCTION("TEXTJOIN("""",TRUE, REGEXEXTRACT(J299, ""\d+""),""-"",LEFT(C299,3),""-"",LEFT(D299),""-"",LEFT(E299,2),LEFT(F299,2), ""-R"",REGEXEXTRACT(H299, ""\d+"") )"),"50-Act-E-1613-R3")</f>
        <v>50-Act-E-1613-R3</v>
      </c>
      <c r="L299" s="8" t="s">
        <v>25</v>
      </c>
      <c r="M299" s="13">
        <v>4.0</v>
      </c>
      <c r="N299" s="14">
        <v>1.2</v>
      </c>
      <c r="O299" s="19">
        <f>SUM(N296:N301)</f>
        <v>7.19</v>
      </c>
      <c r="P299" s="20">
        <f t="shared" si="2"/>
        <v>4.582536648</v>
      </c>
    </row>
    <row r="300">
      <c r="A300" s="6"/>
      <c r="B300" s="21"/>
      <c r="C300" s="48" t="s">
        <v>40</v>
      </c>
      <c r="D300" s="32" t="s">
        <v>32</v>
      </c>
      <c r="E300" s="29" t="s">
        <v>18</v>
      </c>
      <c r="F300" s="33" t="s">
        <v>19</v>
      </c>
      <c r="G300" s="30" t="str">
        <f t="shared" si="1"/>
        <v>16O_13C</v>
      </c>
      <c r="H300" s="45" t="s">
        <v>74</v>
      </c>
      <c r="I300" s="10">
        <v>50.0</v>
      </c>
      <c r="J300" s="11" t="s">
        <v>86</v>
      </c>
      <c r="K300" s="12" t="str">
        <f>IFERROR(__xludf.DUMMYFUNCTION("TEXTJOIN("""",TRUE, REGEXEXTRACT(J300, ""\d+""),""-"",LEFT(C300,3),""-"",LEFT(D300),""-"",LEFT(E300,2),LEFT(F300,2), ""-R"",REGEXEXTRACT(H300, ""\d+"") )"),"50-Act-E-1613-R3")</f>
        <v>50-Act-E-1613-R3</v>
      </c>
      <c r="L300" s="8" t="s">
        <v>26</v>
      </c>
      <c r="M300" s="13">
        <v>5.0</v>
      </c>
      <c r="N300" s="14">
        <v>1.19</v>
      </c>
      <c r="O300" s="15">
        <f>SUM(N296:N301)</f>
        <v>7.19</v>
      </c>
      <c r="P300" s="16">
        <f t="shared" si="2"/>
        <v>4.582536648</v>
      </c>
    </row>
    <row r="301">
      <c r="A301" s="17"/>
      <c r="B301" s="18"/>
      <c r="C301" s="48" t="s">
        <v>40</v>
      </c>
      <c r="D301" s="32" t="s">
        <v>32</v>
      </c>
      <c r="E301" s="29" t="s">
        <v>18</v>
      </c>
      <c r="F301" s="33" t="s">
        <v>19</v>
      </c>
      <c r="G301" s="30" t="str">
        <f t="shared" si="1"/>
        <v>16O_13C</v>
      </c>
      <c r="H301" s="45" t="s">
        <v>74</v>
      </c>
      <c r="I301" s="10">
        <v>50.0</v>
      </c>
      <c r="J301" s="11" t="s">
        <v>86</v>
      </c>
      <c r="K301" s="12" t="str">
        <f>IFERROR(__xludf.DUMMYFUNCTION("TEXTJOIN("""",TRUE, REGEXEXTRACT(J301, ""\d+""),""-"",LEFT(C301,3),""-"",LEFT(D301),""-"",LEFT(E301,2),LEFT(F301,2), ""-R"",REGEXEXTRACT(H301, ""\d+"") )"),"50-Act-E-1613-R3")</f>
        <v>50-Act-E-1613-R3</v>
      </c>
      <c r="L301" s="8" t="s">
        <v>27</v>
      </c>
      <c r="M301" s="13">
        <v>6.0</v>
      </c>
      <c r="N301" s="14">
        <v>1.21</v>
      </c>
      <c r="O301" s="19">
        <f>SUM(N296:N301)</f>
        <v>7.19</v>
      </c>
      <c r="P301" s="20">
        <f t="shared" si="2"/>
        <v>4.582536648</v>
      </c>
    </row>
    <row r="302">
      <c r="A302" s="6"/>
      <c r="B302" s="21"/>
      <c r="C302" s="47" t="s">
        <v>40</v>
      </c>
      <c r="D302" s="35" t="s">
        <v>32</v>
      </c>
      <c r="E302" s="24" t="s">
        <v>18</v>
      </c>
      <c r="F302" s="24" t="s">
        <v>28</v>
      </c>
      <c r="G302" s="26" t="str">
        <f t="shared" si="1"/>
        <v>16O_12C</v>
      </c>
      <c r="H302" s="45" t="s">
        <v>74</v>
      </c>
      <c r="I302" s="10">
        <v>51.0</v>
      </c>
      <c r="J302" s="11" t="s">
        <v>87</v>
      </c>
      <c r="K302" s="12" t="str">
        <f>IFERROR(__xludf.DUMMYFUNCTION("TEXTJOIN("""",TRUE, REGEXEXTRACT(J302, ""\d+""),""-"",LEFT(C302,3),""-"",LEFT(D302),""-"",LEFT(E302,2),LEFT(F302,2), ""-R"",REGEXEXTRACT(H302, ""\d+"") )"),"51-Act-E-1612-R3")</f>
        <v>51-Act-E-1612-R3</v>
      </c>
      <c r="L302" s="8" t="s">
        <v>22</v>
      </c>
      <c r="M302" s="13">
        <v>1.0</v>
      </c>
      <c r="N302" s="14">
        <v>1.12</v>
      </c>
      <c r="O302" s="15">
        <f>SUM(N302:N307)</f>
        <v>7.14</v>
      </c>
      <c r="P302" s="16">
        <f t="shared" si="2"/>
        <v>4.550669216</v>
      </c>
    </row>
    <row r="303">
      <c r="A303" s="17"/>
      <c r="B303" s="18"/>
      <c r="C303" s="47" t="s">
        <v>40</v>
      </c>
      <c r="D303" s="35" t="s">
        <v>32</v>
      </c>
      <c r="E303" s="24" t="s">
        <v>18</v>
      </c>
      <c r="F303" s="24" t="s">
        <v>28</v>
      </c>
      <c r="G303" s="26" t="str">
        <f t="shared" si="1"/>
        <v>16O_12C</v>
      </c>
      <c r="H303" s="45" t="s">
        <v>74</v>
      </c>
      <c r="I303" s="10">
        <v>51.0</v>
      </c>
      <c r="J303" s="11" t="s">
        <v>87</v>
      </c>
      <c r="K303" s="12" t="str">
        <f>IFERROR(__xludf.DUMMYFUNCTION("TEXTJOIN("""",TRUE, REGEXEXTRACT(J303, ""\d+""),""-"",LEFT(C303,3),""-"",LEFT(D303),""-"",LEFT(E303,2),LEFT(F303,2), ""-R"",REGEXEXTRACT(H303, ""\d+"") )"),"51-Act-E-1612-R3")</f>
        <v>51-Act-E-1612-R3</v>
      </c>
      <c r="L303" s="8" t="s">
        <v>23</v>
      </c>
      <c r="M303" s="13">
        <v>2.0</v>
      </c>
      <c r="N303" s="14">
        <v>1.2</v>
      </c>
      <c r="O303" s="19">
        <f>SUM(N302:N307)</f>
        <v>7.14</v>
      </c>
      <c r="P303" s="20">
        <f t="shared" si="2"/>
        <v>4.550669216</v>
      </c>
    </row>
    <row r="304">
      <c r="A304" s="6"/>
      <c r="B304" s="21"/>
      <c r="C304" s="47" t="s">
        <v>40</v>
      </c>
      <c r="D304" s="35" t="s">
        <v>32</v>
      </c>
      <c r="E304" s="24" t="s">
        <v>18</v>
      </c>
      <c r="F304" s="24" t="s">
        <v>28</v>
      </c>
      <c r="G304" s="26" t="str">
        <f t="shared" si="1"/>
        <v>16O_12C</v>
      </c>
      <c r="H304" s="45" t="s">
        <v>74</v>
      </c>
      <c r="I304" s="10">
        <v>51.0</v>
      </c>
      <c r="J304" s="11" t="s">
        <v>87</v>
      </c>
      <c r="K304" s="12" t="str">
        <f>IFERROR(__xludf.DUMMYFUNCTION("TEXTJOIN("""",TRUE, REGEXEXTRACT(J304, ""\d+""),""-"",LEFT(C304,3),""-"",LEFT(D304),""-"",LEFT(E304,2),LEFT(F304,2), ""-R"",REGEXEXTRACT(H304, ""\d+"") )"),"51-Act-E-1612-R3")</f>
        <v>51-Act-E-1612-R3</v>
      </c>
      <c r="L304" s="8" t="s">
        <v>24</v>
      </c>
      <c r="M304" s="13">
        <v>3.0</v>
      </c>
      <c r="N304" s="14">
        <v>1.21</v>
      </c>
      <c r="O304" s="15">
        <f>SUM(N302:N307)</f>
        <v>7.14</v>
      </c>
      <c r="P304" s="16">
        <f t="shared" si="2"/>
        <v>4.550669216</v>
      </c>
    </row>
    <row r="305">
      <c r="A305" s="17"/>
      <c r="B305" s="18"/>
      <c r="C305" s="47" t="s">
        <v>40</v>
      </c>
      <c r="D305" s="35" t="s">
        <v>32</v>
      </c>
      <c r="E305" s="24" t="s">
        <v>18</v>
      </c>
      <c r="F305" s="24" t="s">
        <v>28</v>
      </c>
      <c r="G305" s="26" t="str">
        <f t="shared" si="1"/>
        <v>16O_12C</v>
      </c>
      <c r="H305" s="45" t="s">
        <v>74</v>
      </c>
      <c r="I305" s="10">
        <v>51.0</v>
      </c>
      <c r="J305" s="11" t="s">
        <v>87</v>
      </c>
      <c r="K305" s="12" t="str">
        <f>IFERROR(__xludf.DUMMYFUNCTION("TEXTJOIN("""",TRUE, REGEXEXTRACT(J305, ""\d+""),""-"",LEFT(C305,3),""-"",LEFT(D305),""-"",LEFT(E305,2),LEFT(F305,2), ""-R"",REGEXEXTRACT(H305, ""\d+"") )"),"51-Act-E-1612-R3")</f>
        <v>51-Act-E-1612-R3</v>
      </c>
      <c r="L305" s="8" t="s">
        <v>25</v>
      </c>
      <c r="M305" s="13">
        <v>4.0</v>
      </c>
      <c r="N305" s="14">
        <v>1.2</v>
      </c>
      <c r="O305" s="19">
        <f>SUM(N302:N307)</f>
        <v>7.14</v>
      </c>
      <c r="P305" s="20">
        <f t="shared" si="2"/>
        <v>4.550669216</v>
      </c>
    </row>
    <row r="306">
      <c r="A306" s="6"/>
      <c r="B306" s="21"/>
      <c r="C306" s="47" t="s">
        <v>40</v>
      </c>
      <c r="D306" s="35" t="s">
        <v>32</v>
      </c>
      <c r="E306" s="24" t="s">
        <v>18</v>
      </c>
      <c r="F306" s="24" t="s">
        <v>28</v>
      </c>
      <c r="G306" s="26" t="str">
        <f t="shared" si="1"/>
        <v>16O_12C</v>
      </c>
      <c r="H306" s="45" t="s">
        <v>74</v>
      </c>
      <c r="I306" s="10">
        <v>51.0</v>
      </c>
      <c r="J306" s="11" t="s">
        <v>87</v>
      </c>
      <c r="K306" s="12" t="str">
        <f>IFERROR(__xludf.DUMMYFUNCTION("TEXTJOIN("""",TRUE, REGEXEXTRACT(J306, ""\d+""),""-"",LEFT(C306,3),""-"",LEFT(D306),""-"",LEFT(E306,2),LEFT(F306,2), ""-R"",REGEXEXTRACT(H306, ""\d+"") )"),"51-Act-E-1612-R3")</f>
        <v>51-Act-E-1612-R3</v>
      </c>
      <c r="L306" s="8" t="s">
        <v>26</v>
      </c>
      <c r="M306" s="13">
        <v>5.0</v>
      </c>
      <c r="N306" s="14">
        <v>1.21</v>
      </c>
      <c r="O306" s="15">
        <f>SUM(N302:N307)</f>
        <v>7.14</v>
      </c>
      <c r="P306" s="16">
        <f t="shared" si="2"/>
        <v>4.550669216</v>
      </c>
    </row>
    <row r="307">
      <c r="A307" s="17"/>
      <c r="B307" s="18"/>
      <c r="C307" s="47" t="s">
        <v>40</v>
      </c>
      <c r="D307" s="35" t="s">
        <v>32</v>
      </c>
      <c r="E307" s="24" t="s">
        <v>18</v>
      </c>
      <c r="F307" s="24" t="s">
        <v>28</v>
      </c>
      <c r="G307" s="26" t="str">
        <f t="shared" si="1"/>
        <v>16O_12C</v>
      </c>
      <c r="H307" s="45" t="s">
        <v>74</v>
      </c>
      <c r="I307" s="10">
        <v>51.0</v>
      </c>
      <c r="J307" s="11" t="s">
        <v>87</v>
      </c>
      <c r="K307" s="12" t="str">
        <f>IFERROR(__xludf.DUMMYFUNCTION("TEXTJOIN("""",TRUE, REGEXEXTRACT(J307, ""\d+""),""-"",LEFT(C307,3),""-"",LEFT(D307),""-"",LEFT(E307,2),LEFT(F307,2), ""-R"",REGEXEXTRACT(H307, ""\d+"") )"),"51-Act-E-1612-R3")</f>
        <v>51-Act-E-1612-R3</v>
      </c>
      <c r="L307" s="8" t="s">
        <v>27</v>
      </c>
      <c r="M307" s="13">
        <v>6.0</v>
      </c>
      <c r="N307" s="14">
        <v>1.2</v>
      </c>
      <c r="O307" s="19">
        <f>SUM(N302:N307)</f>
        <v>7.14</v>
      </c>
      <c r="P307" s="20">
        <f t="shared" si="2"/>
        <v>4.550669216</v>
      </c>
    </row>
    <row r="308">
      <c r="A308" s="6"/>
      <c r="B308" s="21"/>
      <c r="C308" s="48" t="s">
        <v>40</v>
      </c>
      <c r="D308" s="32" t="s">
        <v>32</v>
      </c>
      <c r="E308" s="33" t="s">
        <v>30</v>
      </c>
      <c r="F308" s="29" t="s">
        <v>28</v>
      </c>
      <c r="G308" s="30" t="str">
        <f t="shared" si="1"/>
        <v>18O_12C</v>
      </c>
      <c r="H308" s="45" t="s">
        <v>74</v>
      </c>
      <c r="I308" s="10">
        <v>52.0</v>
      </c>
      <c r="J308" s="11" t="s">
        <v>88</v>
      </c>
      <c r="K308" s="12" t="str">
        <f>IFERROR(__xludf.DUMMYFUNCTION("TEXTJOIN("""",TRUE, REGEXEXTRACT(J308, ""\d+""),""-"",LEFT(C308,3),""-"",LEFT(D308),""-"",LEFT(E308,2),LEFT(F308,2), ""-R"",REGEXEXTRACT(H308, ""\d+"") )"),"52-Act-E-1812-R3")</f>
        <v>52-Act-E-1812-R3</v>
      </c>
      <c r="L308" s="8" t="s">
        <v>22</v>
      </c>
      <c r="M308" s="13">
        <v>1.0</v>
      </c>
      <c r="N308" s="14">
        <v>1.17</v>
      </c>
      <c r="O308" s="15">
        <f>SUM(N308:N313)</f>
        <v>7.17</v>
      </c>
      <c r="P308" s="16">
        <f t="shared" si="2"/>
        <v>4.569789675</v>
      </c>
    </row>
    <row r="309">
      <c r="A309" s="17"/>
      <c r="B309" s="18"/>
      <c r="C309" s="48" t="s">
        <v>40</v>
      </c>
      <c r="D309" s="32" t="s">
        <v>32</v>
      </c>
      <c r="E309" s="33" t="s">
        <v>30</v>
      </c>
      <c r="F309" s="29" t="s">
        <v>28</v>
      </c>
      <c r="G309" s="30" t="str">
        <f t="shared" si="1"/>
        <v>18O_12C</v>
      </c>
      <c r="H309" s="45" t="s">
        <v>74</v>
      </c>
      <c r="I309" s="10">
        <v>52.0</v>
      </c>
      <c r="J309" s="11" t="s">
        <v>88</v>
      </c>
      <c r="K309" s="12" t="str">
        <f>IFERROR(__xludf.DUMMYFUNCTION("TEXTJOIN("""",TRUE, REGEXEXTRACT(J309, ""\d+""),""-"",LEFT(C309,3),""-"",LEFT(D309),""-"",LEFT(E309,2),LEFT(F309,2), ""-R"",REGEXEXTRACT(H309, ""\d+"") )"),"52-Act-E-1812-R3")</f>
        <v>52-Act-E-1812-R3</v>
      </c>
      <c r="L309" s="8" t="s">
        <v>23</v>
      </c>
      <c r="M309" s="13">
        <v>2.0</v>
      </c>
      <c r="N309" s="14">
        <v>1.27</v>
      </c>
      <c r="O309" s="19">
        <f>SUM(N308:N313)</f>
        <v>7.17</v>
      </c>
      <c r="P309" s="20">
        <f t="shared" si="2"/>
        <v>4.569789675</v>
      </c>
    </row>
    <row r="310">
      <c r="A310" s="6"/>
      <c r="B310" s="21"/>
      <c r="C310" s="48" t="s">
        <v>40</v>
      </c>
      <c r="D310" s="32" t="s">
        <v>32</v>
      </c>
      <c r="E310" s="33" t="s">
        <v>30</v>
      </c>
      <c r="F310" s="29" t="s">
        <v>28</v>
      </c>
      <c r="G310" s="30" t="str">
        <f t="shared" si="1"/>
        <v>18O_12C</v>
      </c>
      <c r="H310" s="45" t="s">
        <v>74</v>
      </c>
      <c r="I310" s="10">
        <v>52.0</v>
      </c>
      <c r="J310" s="11" t="s">
        <v>88</v>
      </c>
      <c r="K310" s="12" t="str">
        <f>IFERROR(__xludf.DUMMYFUNCTION("TEXTJOIN("""",TRUE, REGEXEXTRACT(J310, ""\d+""),""-"",LEFT(C310,3),""-"",LEFT(D310),""-"",LEFT(E310,2),LEFT(F310,2), ""-R"",REGEXEXTRACT(H310, ""\d+"") )"),"52-Act-E-1812-R3")</f>
        <v>52-Act-E-1812-R3</v>
      </c>
      <c r="L310" s="8" t="s">
        <v>24</v>
      </c>
      <c r="M310" s="13">
        <v>3.0</v>
      </c>
      <c r="N310" s="14">
        <v>1.19</v>
      </c>
      <c r="O310" s="15">
        <f>SUM(N308:N313)</f>
        <v>7.17</v>
      </c>
      <c r="P310" s="16">
        <f t="shared" si="2"/>
        <v>4.569789675</v>
      </c>
    </row>
    <row r="311">
      <c r="A311" s="17"/>
      <c r="B311" s="18"/>
      <c r="C311" s="48" t="s">
        <v>40</v>
      </c>
      <c r="D311" s="32" t="s">
        <v>32</v>
      </c>
      <c r="E311" s="33" t="s">
        <v>30</v>
      </c>
      <c r="F311" s="29" t="s">
        <v>28</v>
      </c>
      <c r="G311" s="30" t="str">
        <f t="shared" si="1"/>
        <v>18O_12C</v>
      </c>
      <c r="H311" s="45" t="s">
        <v>74</v>
      </c>
      <c r="I311" s="10">
        <v>52.0</v>
      </c>
      <c r="J311" s="11" t="s">
        <v>88</v>
      </c>
      <c r="K311" s="12" t="str">
        <f>IFERROR(__xludf.DUMMYFUNCTION("TEXTJOIN("""",TRUE, REGEXEXTRACT(J311, ""\d+""),""-"",LEFT(C311,3),""-"",LEFT(D311),""-"",LEFT(E311,2),LEFT(F311,2), ""-R"",REGEXEXTRACT(H311, ""\d+"") )"),"52-Act-E-1812-R3")</f>
        <v>52-Act-E-1812-R3</v>
      </c>
      <c r="L311" s="8" t="s">
        <v>25</v>
      </c>
      <c r="M311" s="13">
        <v>4.0</v>
      </c>
      <c r="N311" s="14">
        <v>1.19</v>
      </c>
      <c r="O311" s="19">
        <f>SUM(N308:N313)</f>
        <v>7.17</v>
      </c>
      <c r="P311" s="20">
        <f t="shared" si="2"/>
        <v>4.569789675</v>
      </c>
    </row>
    <row r="312">
      <c r="A312" s="6"/>
      <c r="B312" s="21"/>
      <c r="C312" s="48" t="s">
        <v>40</v>
      </c>
      <c r="D312" s="32" t="s">
        <v>32</v>
      </c>
      <c r="E312" s="33" t="s">
        <v>30</v>
      </c>
      <c r="F312" s="29" t="s">
        <v>28</v>
      </c>
      <c r="G312" s="30" t="str">
        <f t="shared" si="1"/>
        <v>18O_12C</v>
      </c>
      <c r="H312" s="45" t="s">
        <v>74</v>
      </c>
      <c r="I312" s="10">
        <v>52.0</v>
      </c>
      <c r="J312" s="11" t="s">
        <v>88</v>
      </c>
      <c r="K312" s="12" t="str">
        <f>IFERROR(__xludf.DUMMYFUNCTION("TEXTJOIN("""",TRUE, REGEXEXTRACT(J312, ""\d+""),""-"",LEFT(C312,3),""-"",LEFT(D312),""-"",LEFT(E312,2),LEFT(F312,2), ""-R"",REGEXEXTRACT(H312, ""\d+"") )"),"52-Act-E-1812-R3")</f>
        <v>52-Act-E-1812-R3</v>
      </c>
      <c r="L312" s="8" t="s">
        <v>26</v>
      </c>
      <c r="M312" s="13">
        <v>5.0</v>
      </c>
      <c r="N312" s="14">
        <v>1.18</v>
      </c>
      <c r="O312" s="15">
        <f>SUM(N308:N313)</f>
        <v>7.17</v>
      </c>
      <c r="P312" s="16">
        <f t="shared" si="2"/>
        <v>4.569789675</v>
      </c>
    </row>
    <row r="313">
      <c r="A313" s="17"/>
      <c r="B313" s="18"/>
      <c r="C313" s="48" t="s">
        <v>40</v>
      </c>
      <c r="D313" s="32" t="s">
        <v>32</v>
      </c>
      <c r="E313" s="33" t="s">
        <v>30</v>
      </c>
      <c r="F313" s="29" t="s">
        <v>28</v>
      </c>
      <c r="G313" s="30" t="str">
        <f t="shared" si="1"/>
        <v>18O_12C</v>
      </c>
      <c r="H313" s="45" t="s">
        <v>74</v>
      </c>
      <c r="I313" s="10">
        <v>52.0</v>
      </c>
      <c r="J313" s="11" t="s">
        <v>88</v>
      </c>
      <c r="K313" s="12" t="str">
        <f>IFERROR(__xludf.DUMMYFUNCTION("TEXTJOIN("""",TRUE, REGEXEXTRACT(J313, ""\d+""),""-"",LEFT(C313,3),""-"",LEFT(D313),""-"",LEFT(E313,2),LEFT(F313,2), ""-R"",REGEXEXTRACT(H313, ""\d+"") )"),"52-Act-E-1812-R3")</f>
        <v>52-Act-E-1812-R3</v>
      </c>
      <c r="L313" s="8" t="s">
        <v>27</v>
      </c>
      <c r="M313" s="13">
        <v>6.0</v>
      </c>
      <c r="N313" s="14">
        <v>1.17</v>
      </c>
      <c r="O313" s="19">
        <f>SUM(N308:N313)</f>
        <v>7.17</v>
      </c>
      <c r="P313" s="20">
        <f t="shared" si="2"/>
        <v>4.569789675</v>
      </c>
    </row>
    <row r="314">
      <c r="A314" s="6"/>
      <c r="B314" s="21"/>
      <c r="C314" s="47" t="s">
        <v>40</v>
      </c>
      <c r="D314" s="36" t="s">
        <v>36</v>
      </c>
      <c r="E314" s="24" t="s">
        <v>18</v>
      </c>
      <c r="F314" s="37" t="s">
        <v>37</v>
      </c>
      <c r="G314" s="26" t="str">
        <f t="shared" si="1"/>
        <v>16O_No C</v>
      </c>
      <c r="H314" s="45" t="s">
        <v>74</v>
      </c>
      <c r="I314" s="10">
        <v>53.0</v>
      </c>
      <c r="J314" s="11" t="s">
        <v>89</v>
      </c>
      <c r="K314" s="12" t="str">
        <f>IFERROR(__xludf.DUMMYFUNCTION("TEXTJOIN("""",TRUE, REGEXEXTRACT(J314, ""\d+""),""-"",LEFT(C314,3),""-"",LEFT(D314),""-"",LEFT(E314,2),LEFT(F314,2), ""-R"",REGEXEXTRACT(H314, ""\d+"") )"),"53-Act-N-16No-R3")</f>
        <v>53-Act-N-16No-R3</v>
      </c>
      <c r="L314" s="8" t="s">
        <v>22</v>
      </c>
      <c r="M314" s="13">
        <v>1.0</v>
      </c>
      <c r="N314" s="14">
        <v>1.18</v>
      </c>
      <c r="O314" s="15">
        <f>SUM(N314:N319)</f>
        <v>7.29</v>
      </c>
      <c r="P314" s="16">
        <f t="shared" si="2"/>
        <v>4.646271511</v>
      </c>
    </row>
    <row r="315">
      <c r="A315" s="17"/>
      <c r="B315" s="18"/>
      <c r="C315" s="47" t="s">
        <v>40</v>
      </c>
      <c r="D315" s="36" t="s">
        <v>36</v>
      </c>
      <c r="E315" s="24" t="s">
        <v>18</v>
      </c>
      <c r="F315" s="37" t="s">
        <v>37</v>
      </c>
      <c r="G315" s="26" t="str">
        <f t="shared" si="1"/>
        <v>16O_No C</v>
      </c>
      <c r="H315" s="45" t="s">
        <v>74</v>
      </c>
      <c r="I315" s="10">
        <v>53.0</v>
      </c>
      <c r="J315" s="11" t="s">
        <v>89</v>
      </c>
      <c r="K315" s="12" t="str">
        <f>IFERROR(__xludf.DUMMYFUNCTION("TEXTJOIN("""",TRUE, REGEXEXTRACT(J315, ""\d+""),""-"",LEFT(C315,3),""-"",LEFT(D315),""-"",LEFT(E315,2),LEFT(F315,2), ""-R"",REGEXEXTRACT(H315, ""\d+"") )"),"53-Act-N-16No-R3")</f>
        <v>53-Act-N-16No-R3</v>
      </c>
      <c r="L315" s="8" t="s">
        <v>23</v>
      </c>
      <c r="M315" s="13">
        <v>2.0</v>
      </c>
      <c r="N315" s="14">
        <v>1.21</v>
      </c>
      <c r="O315" s="19">
        <f>SUM(N314:N319)</f>
        <v>7.29</v>
      </c>
      <c r="P315" s="20">
        <f t="shared" si="2"/>
        <v>4.646271511</v>
      </c>
    </row>
    <row r="316">
      <c r="A316" s="6"/>
      <c r="B316" s="21"/>
      <c r="C316" s="47" t="s">
        <v>40</v>
      </c>
      <c r="D316" s="36" t="s">
        <v>36</v>
      </c>
      <c r="E316" s="24" t="s">
        <v>18</v>
      </c>
      <c r="F316" s="37" t="s">
        <v>37</v>
      </c>
      <c r="G316" s="26" t="str">
        <f t="shared" si="1"/>
        <v>16O_No C</v>
      </c>
      <c r="H316" s="45" t="s">
        <v>74</v>
      </c>
      <c r="I316" s="10">
        <v>53.0</v>
      </c>
      <c r="J316" s="11" t="s">
        <v>89</v>
      </c>
      <c r="K316" s="12" t="str">
        <f>IFERROR(__xludf.DUMMYFUNCTION("TEXTJOIN("""",TRUE, REGEXEXTRACT(J316, ""\d+""),""-"",LEFT(C316,3),""-"",LEFT(D316),""-"",LEFT(E316,2),LEFT(F316,2), ""-R"",REGEXEXTRACT(H316, ""\d+"") )"),"53-Act-N-16No-R3")</f>
        <v>53-Act-N-16No-R3</v>
      </c>
      <c r="L316" s="8" t="s">
        <v>24</v>
      </c>
      <c r="M316" s="13">
        <v>3.0</v>
      </c>
      <c r="N316" s="14">
        <v>1.22</v>
      </c>
      <c r="O316" s="15">
        <f>SUM(N314:N319)</f>
        <v>7.29</v>
      </c>
      <c r="P316" s="16">
        <f t="shared" si="2"/>
        <v>4.646271511</v>
      </c>
    </row>
    <row r="317">
      <c r="A317" s="17"/>
      <c r="B317" s="18"/>
      <c r="C317" s="47" t="s">
        <v>40</v>
      </c>
      <c r="D317" s="36" t="s">
        <v>36</v>
      </c>
      <c r="E317" s="24" t="s">
        <v>18</v>
      </c>
      <c r="F317" s="37" t="s">
        <v>37</v>
      </c>
      <c r="G317" s="26" t="str">
        <f t="shared" si="1"/>
        <v>16O_No C</v>
      </c>
      <c r="H317" s="45" t="s">
        <v>74</v>
      </c>
      <c r="I317" s="10">
        <v>53.0</v>
      </c>
      <c r="J317" s="11" t="s">
        <v>89</v>
      </c>
      <c r="K317" s="12" t="str">
        <f>IFERROR(__xludf.DUMMYFUNCTION("TEXTJOIN("""",TRUE, REGEXEXTRACT(J317, ""\d+""),""-"",LEFT(C317,3),""-"",LEFT(D317),""-"",LEFT(E317,2),LEFT(F317,2), ""-R"",REGEXEXTRACT(H317, ""\d+"") )"),"53-Act-N-16No-R3")</f>
        <v>53-Act-N-16No-R3</v>
      </c>
      <c r="L317" s="8" t="s">
        <v>25</v>
      </c>
      <c r="M317" s="13">
        <v>4.0</v>
      </c>
      <c r="N317" s="14">
        <v>1.23</v>
      </c>
      <c r="O317" s="19">
        <f>SUM(N314:N319)</f>
        <v>7.29</v>
      </c>
      <c r="P317" s="20">
        <f t="shared" si="2"/>
        <v>4.646271511</v>
      </c>
    </row>
    <row r="318">
      <c r="A318" s="6"/>
      <c r="B318" s="21"/>
      <c r="C318" s="47" t="s">
        <v>40</v>
      </c>
      <c r="D318" s="36" t="s">
        <v>36</v>
      </c>
      <c r="E318" s="24" t="s">
        <v>18</v>
      </c>
      <c r="F318" s="37" t="s">
        <v>37</v>
      </c>
      <c r="G318" s="26" t="str">
        <f t="shared" si="1"/>
        <v>16O_No C</v>
      </c>
      <c r="H318" s="45" t="s">
        <v>74</v>
      </c>
      <c r="I318" s="10">
        <v>53.0</v>
      </c>
      <c r="J318" s="11" t="s">
        <v>89</v>
      </c>
      <c r="K318" s="12" t="str">
        <f>IFERROR(__xludf.DUMMYFUNCTION("TEXTJOIN("""",TRUE, REGEXEXTRACT(J318, ""\d+""),""-"",LEFT(C318,3),""-"",LEFT(D318),""-"",LEFT(E318,2),LEFT(F318,2), ""-R"",REGEXEXTRACT(H318, ""\d+"") )"),"53-Act-N-16No-R3")</f>
        <v>53-Act-N-16No-R3</v>
      </c>
      <c r="L318" s="8" t="s">
        <v>26</v>
      </c>
      <c r="M318" s="13">
        <v>5.0</v>
      </c>
      <c r="N318" s="14">
        <v>1.19</v>
      </c>
      <c r="O318" s="15">
        <f>SUM(N314:N319)</f>
        <v>7.29</v>
      </c>
      <c r="P318" s="16">
        <f t="shared" si="2"/>
        <v>4.646271511</v>
      </c>
    </row>
    <row r="319">
      <c r="A319" s="17"/>
      <c r="B319" s="18"/>
      <c r="C319" s="47" t="s">
        <v>40</v>
      </c>
      <c r="D319" s="36" t="s">
        <v>36</v>
      </c>
      <c r="E319" s="24" t="s">
        <v>18</v>
      </c>
      <c r="F319" s="37" t="s">
        <v>37</v>
      </c>
      <c r="G319" s="26" t="str">
        <f t="shared" si="1"/>
        <v>16O_No C</v>
      </c>
      <c r="H319" s="45" t="s">
        <v>74</v>
      </c>
      <c r="I319" s="10">
        <v>53.0</v>
      </c>
      <c r="J319" s="11" t="s">
        <v>89</v>
      </c>
      <c r="K319" s="12" t="str">
        <f>IFERROR(__xludf.DUMMYFUNCTION("TEXTJOIN("""",TRUE, REGEXEXTRACT(J319, ""\d+""),""-"",LEFT(C319,3),""-"",LEFT(D319),""-"",LEFT(E319,2),LEFT(F319,2), ""-R"",REGEXEXTRACT(H319, ""\d+"") )"),"53-Act-N-16No-R3")</f>
        <v>53-Act-N-16No-R3</v>
      </c>
      <c r="L319" s="8" t="s">
        <v>27</v>
      </c>
      <c r="M319" s="13">
        <v>6.0</v>
      </c>
      <c r="N319" s="14">
        <v>1.26</v>
      </c>
      <c r="O319" s="19">
        <f>SUM(N314:N319)</f>
        <v>7.29</v>
      </c>
      <c r="P319" s="20">
        <f t="shared" si="2"/>
        <v>4.646271511</v>
      </c>
    </row>
    <row r="320">
      <c r="A320" s="6"/>
      <c r="B320" s="21"/>
      <c r="C320" s="48" t="s">
        <v>40</v>
      </c>
      <c r="D320" s="38" t="s">
        <v>36</v>
      </c>
      <c r="E320" s="33" t="s">
        <v>30</v>
      </c>
      <c r="F320" s="39" t="s">
        <v>37</v>
      </c>
      <c r="G320" s="30" t="str">
        <f t="shared" si="1"/>
        <v>18O_No C</v>
      </c>
      <c r="H320" s="45" t="s">
        <v>74</v>
      </c>
      <c r="I320" s="10">
        <v>54.0</v>
      </c>
      <c r="J320" s="11" t="s">
        <v>90</v>
      </c>
      <c r="K320" s="12" t="str">
        <f>IFERROR(__xludf.DUMMYFUNCTION("TEXTJOIN("""",TRUE, REGEXEXTRACT(J320, ""\d+""),""-"",LEFT(C320,3),""-"",LEFT(D320),""-"",LEFT(E320,2),LEFT(F320,2), ""-R"",REGEXEXTRACT(H320, ""\d+"") )"),"54-Act-N-18No-R3")</f>
        <v>54-Act-N-18No-R3</v>
      </c>
      <c r="L320" s="8" t="s">
        <v>22</v>
      </c>
      <c r="M320" s="13">
        <v>1.0</v>
      </c>
      <c r="N320" s="14">
        <v>1.2</v>
      </c>
      <c r="O320" s="15">
        <f>SUM(N320:N325)</f>
        <v>7.21</v>
      </c>
      <c r="P320" s="16">
        <f t="shared" si="2"/>
        <v>4.59528362</v>
      </c>
    </row>
    <row r="321">
      <c r="A321" s="17"/>
      <c r="B321" s="18"/>
      <c r="C321" s="48" t="s">
        <v>40</v>
      </c>
      <c r="D321" s="38" t="s">
        <v>36</v>
      </c>
      <c r="E321" s="33" t="s">
        <v>30</v>
      </c>
      <c r="F321" s="39" t="s">
        <v>37</v>
      </c>
      <c r="G321" s="30" t="str">
        <f t="shared" si="1"/>
        <v>18O_No C</v>
      </c>
      <c r="H321" s="45" t="s">
        <v>74</v>
      </c>
      <c r="I321" s="10">
        <v>54.0</v>
      </c>
      <c r="J321" s="11" t="s">
        <v>90</v>
      </c>
      <c r="K321" s="12" t="str">
        <f>IFERROR(__xludf.DUMMYFUNCTION("TEXTJOIN("""",TRUE, REGEXEXTRACT(J321, ""\d+""),""-"",LEFT(C321,3),""-"",LEFT(D321),""-"",LEFT(E321,2),LEFT(F321,2), ""-R"",REGEXEXTRACT(H321, ""\d+"") )"),"54-Act-N-18No-R3")</f>
        <v>54-Act-N-18No-R3</v>
      </c>
      <c r="L321" s="8" t="s">
        <v>23</v>
      </c>
      <c r="M321" s="13">
        <v>2.0</v>
      </c>
      <c r="N321" s="14">
        <v>1.19</v>
      </c>
      <c r="O321" s="19">
        <f>SUM(N320:N325)</f>
        <v>7.21</v>
      </c>
      <c r="P321" s="20">
        <f t="shared" si="2"/>
        <v>4.59528362</v>
      </c>
    </row>
    <row r="322">
      <c r="A322" s="6"/>
      <c r="B322" s="21"/>
      <c r="C322" s="48" t="s">
        <v>40</v>
      </c>
      <c r="D322" s="38" t="s">
        <v>36</v>
      </c>
      <c r="E322" s="33" t="s">
        <v>30</v>
      </c>
      <c r="F322" s="39" t="s">
        <v>37</v>
      </c>
      <c r="G322" s="30" t="str">
        <f t="shared" si="1"/>
        <v>18O_No C</v>
      </c>
      <c r="H322" s="45" t="s">
        <v>74</v>
      </c>
      <c r="I322" s="10">
        <v>54.0</v>
      </c>
      <c r="J322" s="11" t="s">
        <v>90</v>
      </c>
      <c r="K322" s="12" t="str">
        <f>IFERROR(__xludf.DUMMYFUNCTION("TEXTJOIN("""",TRUE, REGEXEXTRACT(J322, ""\d+""),""-"",LEFT(C322,3),""-"",LEFT(D322),""-"",LEFT(E322,2),LEFT(F322,2), ""-R"",REGEXEXTRACT(H322, ""\d+"") )"),"54-Act-N-18No-R3")</f>
        <v>54-Act-N-18No-R3</v>
      </c>
      <c r="L322" s="8" t="s">
        <v>24</v>
      </c>
      <c r="M322" s="13">
        <v>3.0</v>
      </c>
      <c r="N322" s="14">
        <v>1.23</v>
      </c>
      <c r="O322" s="15">
        <f>SUM(N320:N325)</f>
        <v>7.21</v>
      </c>
      <c r="P322" s="16">
        <f t="shared" si="2"/>
        <v>4.59528362</v>
      </c>
    </row>
    <row r="323">
      <c r="A323" s="17"/>
      <c r="B323" s="18"/>
      <c r="C323" s="48" t="s">
        <v>40</v>
      </c>
      <c r="D323" s="38" t="s">
        <v>36</v>
      </c>
      <c r="E323" s="33" t="s">
        <v>30</v>
      </c>
      <c r="F323" s="39" t="s">
        <v>37</v>
      </c>
      <c r="G323" s="30" t="str">
        <f t="shared" si="1"/>
        <v>18O_No C</v>
      </c>
      <c r="H323" s="45" t="s">
        <v>74</v>
      </c>
      <c r="I323" s="10">
        <v>54.0</v>
      </c>
      <c r="J323" s="11" t="s">
        <v>90</v>
      </c>
      <c r="K323" s="12" t="str">
        <f>IFERROR(__xludf.DUMMYFUNCTION("TEXTJOIN("""",TRUE, REGEXEXTRACT(J323, ""\d+""),""-"",LEFT(C323,3),""-"",LEFT(D323),""-"",LEFT(E323,2),LEFT(F323,2), ""-R"",REGEXEXTRACT(H323, ""\d+"") )"),"54-Act-N-18No-R3")</f>
        <v>54-Act-N-18No-R3</v>
      </c>
      <c r="L323" s="8" t="s">
        <v>25</v>
      </c>
      <c r="M323" s="13">
        <v>4.0</v>
      </c>
      <c r="N323" s="14">
        <v>1.15</v>
      </c>
      <c r="O323" s="19">
        <f>SUM(N320:N325)</f>
        <v>7.21</v>
      </c>
      <c r="P323" s="20">
        <f t="shared" si="2"/>
        <v>4.59528362</v>
      </c>
    </row>
    <row r="324">
      <c r="A324" s="6"/>
      <c r="B324" s="21"/>
      <c r="C324" s="48" t="s">
        <v>40</v>
      </c>
      <c r="D324" s="38" t="s">
        <v>36</v>
      </c>
      <c r="E324" s="33" t="s">
        <v>30</v>
      </c>
      <c r="F324" s="39" t="s">
        <v>37</v>
      </c>
      <c r="G324" s="30" t="str">
        <f t="shared" si="1"/>
        <v>18O_No C</v>
      </c>
      <c r="H324" s="45" t="s">
        <v>74</v>
      </c>
      <c r="I324" s="10">
        <v>54.0</v>
      </c>
      <c r="J324" s="11" t="s">
        <v>90</v>
      </c>
      <c r="K324" s="12" t="str">
        <f>IFERROR(__xludf.DUMMYFUNCTION("TEXTJOIN("""",TRUE, REGEXEXTRACT(J324, ""\d+""),""-"",LEFT(C324,3),""-"",LEFT(D324),""-"",LEFT(E324,2),LEFT(F324,2), ""-R"",REGEXEXTRACT(H324, ""\d+"") )"),"54-Act-N-18No-R3")</f>
        <v>54-Act-N-18No-R3</v>
      </c>
      <c r="L324" s="8" t="s">
        <v>26</v>
      </c>
      <c r="M324" s="13">
        <v>5.0</v>
      </c>
      <c r="N324" s="14">
        <v>1.27</v>
      </c>
      <c r="O324" s="15">
        <f>SUM(N320:N325)</f>
        <v>7.21</v>
      </c>
      <c r="P324" s="16">
        <f t="shared" si="2"/>
        <v>4.59528362</v>
      </c>
    </row>
    <row r="325">
      <c r="A325" s="17"/>
      <c r="B325" s="18"/>
      <c r="C325" s="48" t="s">
        <v>40</v>
      </c>
      <c r="D325" s="38" t="s">
        <v>36</v>
      </c>
      <c r="E325" s="33" t="s">
        <v>30</v>
      </c>
      <c r="F325" s="39" t="s">
        <v>37</v>
      </c>
      <c r="G325" s="30" t="str">
        <f t="shared" si="1"/>
        <v>18O_No C</v>
      </c>
      <c r="H325" s="45" t="s">
        <v>74</v>
      </c>
      <c r="I325" s="10">
        <v>54.0</v>
      </c>
      <c r="J325" s="11" t="s">
        <v>90</v>
      </c>
      <c r="K325" s="12" t="str">
        <f>IFERROR(__xludf.DUMMYFUNCTION("TEXTJOIN("""",TRUE, REGEXEXTRACT(J325, ""\d+""),""-"",LEFT(C325,3),""-"",LEFT(D325),""-"",LEFT(E325,2),LEFT(F325,2), ""-R"",REGEXEXTRACT(H325, ""\d+"") )"),"54-Act-N-18No-R3")</f>
        <v>54-Act-N-18No-R3</v>
      </c>
      <c r="L325" s="8" t="s">
        <v>27</v>
      </c>
      <c r="M325" s="13">
        <v>6.0</v>
      </c>
      <c r="N325" s="14">
        <v>1.17</v>
      </c>
      <c r="O325" s="19">
        <f>SUM(N320:N325)</f>
        <v>7.21</v>
      </c>
      <c r="P325" s="20">
        <f t="shared" si="2"/>
        <v>4.59528362</v>
      </c>
    </row>
    <row r="326">
      <c r="A326" s="6"/>
      <c r="B326" s="21"/>
      <c r="C326" s="49" t="s">
        <v>50</v>
      </c>
      <c r="D326" s="23" t="s">
        <v>17</v>
      </c>
      <c r="E326" s="24" t="s">
        <v>18</v>
      </c>
      <c r="F326" s="24" t="s">
        <v>28</v>
      </c>
      <c r="G326" s="26" t="str">
        <f t="shared" si="1"/>
        <v>16O_12C</v>
      </c>
      <c r="H326" s="45" t="s">
        <v>74</v>
      </c>
      <c r="I326" s="10">
        <v>55.0</v>
      </c>
      <c r="J326" s="11" t="s">
        <v>91</v>
      </c>
      <c r="K326" s="12" t="str">
        <f>IFERROR(__xludf.DUMMYFUNCTION("TEXTJOIN("""",TRUE, REGEXEXTRACT(J326, ""\d+""),""-"",LEFT(C326,3),""-"",LEFT(D326),""-"",LEFT(E326,2),LEFT(F326,2), ""-R"",REGEXEXTRACT(H326, ""\d+"") )"),"55-Per-L-1612-R3")</f>
        <v>55-Per-L-1612-R3</v>
      </c>
      <c r="L326" s="8" t="s">
        <v>22</v>
      </c>
      <c r="M326" s="13">
        <v>1.0</v>
      </c>
      <c r="N326" s="14">
        <v>1.27</v>
      </c>
      <c r="O326" s="15">
        <f>SUM(N326:N331)</f>
        <v>7.33</v>
      </c>
      <c r="P326" s="16">
        <f t="shared" si="2"/>
        <v>4.671765456</v>
      </c>
    </row>
    <row r="327">
      <c r="A327" s="17"/>
      <c r="B327" s="18"/>
      <c r="C327" s="49" t="s">
        <v>50</v>
      </c>
      <c r="D327" s="23" t="s">
        <v>17</v>
      </c>
      <c r="E327" s="24" t="s">
        <v>18</v>
      </c>
      <c r="F327" s="24" t="s">
        <v>28</v>
      </c>
      <c r="G327" s="26" t="str">
        <f t="shared" si="1"/>
        <v>16O_12C</v>
      </c>
      <c r="H327" s="45" t="s">
        <v>74</v>
      </c>
      <c r="I327" s="10">
        <v>55.0</v>
      </c>
      <c r="J327" s="11" t="s">
        <v>91</v>
      </c>
      <c r="K327" s="12" t="str">
        <f>IFERROR(__xludf.DUMMYFUNCTION("TEXTJOIN("""",TRUE, REGEXEXTRACT(J327, ""\d+""),""-"",LEFT(C327,3),""-"",LEFT(D327),""-"",LEFT(E327,2),LEFT(F327,2), ""-R"",REGEXEXTRACT(H327, ""\d+"") )"),"55-Per-L-1612-R3")</f>
        <v>55-Per-L-1612-R3</v>
      </c>
      <c r="L327" s="8" t="s">
        <v>23</v>
      </c>
      <c r="M327" s="13">
        <v>2.0</v>
      </c>
      <c r="N327" s="14">
        <v>1.19</v>
      </c>
      <c r="O327" s="19">
        <f>SUM(N326:N331)</f>
        <v>7.33</v>
      </c>
      <c r="P327" s="20">
        <f t="shared" si="2"/>
        <v>4.671765456</v>
      </c>
    </row>
    <row r="328">
      <c r="A328" s="6"/>
      <c r="B328" s="21"/>
      <c r="C328" s="49" t="s">
        <v>50</v>
      </c>
      <c r="D328" s="23" t="s">
        <v>17</v>
      </c>
      <c r="E328" s="24" t="s">
        <v>18</v>
      </c>
      <c r="F328" s="24" t="s">
        <v>28</v>
      </c>
      <c r="G328" s="26" t="str">
        <f t="shared" si="1"/>
        <v>16O_12C</v>
      </c>
      <c r="H328" s="45" t="s">
        <v>74</v>
      </c>
      <c r="I328" s="10">
        <v>55.0</v>
      </c>
      <c r="J328" s="11" t="s">
        <v>91</v>
      </c>
      <c r="K328" s="12" t="str">
        <f>IFERROR(__xludf.DUMMYFUNCTION("TEXTJOIN("""",TRUE, REGEXEXTRACT(J328, ""\d+""),""-"",LEFT(C328,3),""-"",LEFT(D328),""-"",LEFT(E328,2),LEFT(F328,2), ""-R"",REGEXEXTRACT(H328, ""\d+"") )"),"55-Per-L-1612-R3")</f>
        <v>55-Per-L-1612-R3</v>
      </c>
      <c r="L328" s="8" t="s">
        <v>24</v>
      </c>
      <c r="M328" s="13">
        <v>3.0</v>
      </c>
      <c r="N328" s="14">
        <v>1.23</v>
      </c>
      <c r="O328" s="15">
        <f>SUM(N326:N331)</f>
        <v>7.33</v>
      </c>
      <c r="P328" s="16">
        <f t="shared" si="2"/>
        <v>4.671765456</v>
      </c>
    </row>
    <row r="329">
      <c r="A329" s="17"/>
      <c r="B329" s="18"/>
      <c r="C329" s="49" t="s">
        <v>50</v>
      </c>
      <c r="D329" s="23" t="s">
        <v>17</v>
      </c>
      <c r="E329" s="24" t="s">
        <v>18</v>
      </c>
      <c r="F329" s="24" t="s">
        <v>28</v>
      </c>
      <c r="G329" s="26" t="str">
        <f t="shared" si="1"/>
        <v>16O_12C</v>
      </c>
      <c r="H329" s="45" t="s">
        <v>74</v>
      </c>
      <c r="I329" s="10">
        <v>55.0</v>
      </c>
      <c r="J329" s="11" t="s">
        <v>91</v>
      </c>
      <c r="K329" s="12" t="str">
        <f>IFERROR(__xludf.DUMMYFUNCTION("TEXTJOIN("""",TRUE, REGEXEXTRACT(J329, ""\d+""),""-"",LEFT(C329,3),""-"",LEFT(D329),""-"",LEFT(E329,2),LEFT(F329,2), ""-R"",REGEXEXTRACT(H329, ""\d+"") )"),"55-Per-L-1612-R3")</f>
        <v>55-Per-L-1612-R3</v>
      </c>
      <c r="L329" s="8" t="s">
        <v>25</v>
      </c>
      <c r="M329" s="13">
        <v>4.0</v>
      </c>
      <c r="N329" s="14">
        <v>1.16</v>
      </c>
      <c r="O329" s="19">
        <f>SUM(N326:N331)</f>
        <v>7.33</v>
      </c>
      <c r="P329" s="20">
        <f t="shared" si="2"/>
        <v>4.671765456</v>
      </c>
    </row>
    <row r="330">
      <c r="A330" s="6"/>
      <c r="B330" s="21"/>
      <c r="C330" s="49" t="s">
        <v>50</v>
      </c>
      <c r="D330" s="23" t="s">
        <v>17</v>
      </c>
      <c r="E330" s="24" t="s">
        <v>18</v>
      </c>
      <c r="F330" s="24" t="s">
        <v>28</v>
      </c>
      <c r="G330" s="26" t="str">
        <f t="shared" si="1"/>
        <v>16O_12C</v>
      </c>
      <c r="H330" s="45" t="s">
        <v>74</v>
      </c>
      <c r="I330" s="10">
        <v>55.0</v>
      </c>
      <c r="J330" s="11" t="s">
        <v>91</v>
      </c>
      <c r="K330" s="12" t="str">
        <f>IFERROR(__xludf.DUMMYFUNCTION("TEXTJOIN("""",TRUE, REGEXEXTRACT(J330, ""\d+""),""-"",LEFT(C330,3),""-"",LEFT(D330),""-"",LEFT(E330,2),LEFT(F330,2), ""-R"",REGEXEXTRACT(H330, ""\d+"") )"),"55-Per-L-1612-R3")</f>
        <v>55-Per-L-1612-R3</v>
      </c>
      <c r="L330" s="8" t="s">
        <v>26</v>
      </c>
      <c r="M330" s="13">
        <v>5.0</v>
      </c>
      <c r="N330" s="14">
        <v>1.22</v>
      </c>
      <c r="O330" s="15">
        <f>SUM(N326:N331)</f>
        <v>7.33</v>
      </c>
      <c r="P330" s="16">
        <f t="shared" si="2"/>
        <v>4.671765456</v>
      </c>
    </row>
    <row r="331">
      <c r="A331" s="17"/>
      <c r="B331" s="18"/>
      <c r="C331" s="49" t="s">
        <v>50</v>
      </c>
      <c r="D331" s="23" t="s">
        <v>17</v>
      </c>
      <c r="E331" s="24" t="s">
        <v>18</v>
      </c>
      <c r="F331" s="24" t="s">
        <v>28</v>
      </c>
      <c r="G331" s="26" t="str">
        <f t="shared" si="1"/>
        <v>16O_12C</v>
      </c>
      <c r="H331" s="45" t="s">
        <v>74</v>
      </c>
      <c r="I331" s="10">
        <v>55.0</v>
      </c>
      <c r="J331" s="11" t="s">
        <v>91</v>
      </c>
      <c r="K331" s="12" t="str">
        <f>IFERROR(__xludf.DUMMYFUNCTION("TEXTJOIN("""",TRUE, REGEXEXTRACT(J331, ""\d+""),""-"",LEFT(C331,3),""-"",LEFT(D331),""-"",LEFT(E331,2),LEFT(F331,2), ""-R"",REGEXEXTRACT(H331, ""\d+"") )"),"55-Per-L-1612-R3")</f>
        <v>55-Per-L-1612-R3</v>
      </c>
      <c r="L331" s="8" t="s">
        <v>27</v>
      </c>
      <c r="M331" s="13">
        <v>6.0</v>
      </c>
      <c r="N331" s="14">
        <v>1.26</v>
      </c>
      <c r="O331" s="19">
        <f>SUM(N326:N331)</f>
        <v>7.33</v>
      </c>
      <c r="P331" s="20">
        <f t="shared" si="2"/>
        <v>4.671765456</v>
      </c>
    </row>
    <row r="332">
      <c r="A332" s="6"/>
      <c r="B332" s="21"/>
      <c r="C332" s="50" t="s">
        <v>50</v>
      </c>
      <c r="D332" s="32" t="s">
        <v>32</v>
      </c>
      <c r="E332" s="29" t="s">
        <v>18</v>
      </c>
      <c r="F332" s="29" t="s">
        <v>28</v>
      </c>
      <c r="G332" s="30" t="str">
        <f t="shared" si="1"/>
        <v>16O_12C</v>
      </c>
      <c r="H332" s="45" t="s">
        <v>74</v>
      </c>
      <c r="I332" s="10">
        <v>56.0</v>
      </c>
      <c r="J332" s="11" t="s">
        <v>92</v>
      </c>
      <c r="K332" s="12" t="str">
        <f>IFERROR(__xludf.DUMMYFUNCTION("TEXTJOIN("""",TRUE, REGEXEXTRACT(J332, ""\d+""),""-"",LEFT(C332,3),""-"",LEFT(D332),""-"",LEFT(E332,2),LEFT(F332,2), ""-R"",REGEXEXTRACT(H332, ""\d+"") )"),"56-Per-E-1612-R3")</f>
        <v>56-Per-E-1612-R3</v>
      </c>
      <c r="L332" s="8" t="s">
        <v>22</v>
      </c>
      <c r="M332" s="13">
        <v>1.0</v>
      </c>
      <c r="N332" s="14">
        <v>1.19</v>
      </c>
      <c r="O332" s="15">
        <f>SUM(N332:N337)</f>
        <v>7.24</v>
      </c>
      <c r="P332" s="16">
        <f t="shared" si="2"/>
        <v>4.614404079</v>
      </c>
    </row>
    <row r="333">
      <c r="A333" s="17"/>
      <c r="B333" s="18"/>
      <c r="C333" s="50" t="s">
        <v>50</v>
      </c>
      <c r="D333" s="32" t="s">
        <v>32</v>
      </c>
      <c r="E333" s="29" t="s">
        <v>18</v>
      </c>
      <c r="F333" s="29" t="s">
        <v>28</v>
      </c>
      <c r="G333" s="30" t="str">
        <f t="shared" si="1"/>
        <v>16O_12C</v>
      </c>
      <c r="H333" s="45" t="s">
        <v>74</v>
      </c>
      <c r="I333" s="10">
        <v>56.0</v>
      </c>
      <c r="J333" s="11" t="s">
        <v>92</v>
      </c>
      <c r="K333" s="12" t="str">
        <f>IFERROR(__xludf.DUMMYFUNCTION("TEXTJOIN("""",TRUE, REGEXEXTRACT(J333, ""\d+""),""-"",LEFT(C333,3),""-"",LEFT(D333),""-"",LEFT(E333,2),LEFT(F333,2), ""-R"",REGEXEXTRACT(H333, ""\d+"") )"),"56-Per-E-1612-R3")</f>
        <v>56-Per-E-1612-R3</v>
      </c>
      <c r="L333" s="8" t="s">
        <v>23</v>
      </c>
      <c r="M333" s="13">
        <v>2.0</v>
      </c>
      <c r="N333" s="14">
        <v>1.16</v>
      </c>
      <c r="O333" s="19">
        <f>SUM(N332:N337)</f>
        <v>7.24</v>
      </c>
      <c r="P333" s="20">
        <f t="shared" si="2"/>
        <v>4.614404079</v>
      </c>
    </row>
    <row r="334">
      <c r="A334" s="6"/>
      <c r="B334" s="21"/>
      <c r="C334" s="50" t="s">
        <v>50</v>
      </c>
      <c r="D334" s="32" t="s">
        <v>32</v>
      </c>
      <c r="E334" s="29" t="s">
        <v>18</v>
      </c>
      <c r="F334" s="29" t="s">
        <v>28</v>
      </c>
      <c r="G334" s="30" t="str">
        <f t="shared" si="1"/>
        <v>16O_12C</v>
      </c>
      <c r="H334" s="45" t="s">
        <v>74</v>
      </c>
      <c r="I334" s="10">
        <v>56.0</v>
      </c>
      <c r="J334" s="11" t="s">
        <v>92</v>
      </c>
      <c r="K334" s="12" t="str">
        <f>IFERROR(__xludf.DUMMYFUNCTION("TEXTJOIN("""",TRUE, REGEXEXTRACT(J334, ""\d+""),""-"",LEFT(C334,3),""-"",LEFT(D334),""-"",LEFT(E334,2),LEFT(F334,2), ""-R"",REGEXEXTRACT(H334, ""\d+"") )"),"56-Per-E-1612-R3")</f>
        <v>56-Per-E-1612-R3</v>
      </c>
      <c r="L334" s="8" t="s">
        <v>24</v>
      </c>
      <c r="M334" s="13">
        <v>3.0</v>
      </c>
      <c r="N334" s="14">
        <v>1.25</v>
      </c>
      <c r="O334" s="15">
        <f>SUM(N332:N337)</f>
        <v>7.24</v>
      </c>
      <c r="P334" s="16">
        <f t="shared" si="2"/>
        <v>4.614404079</v>
      </c>
    </row>
    <row r="335">
      <c r="A335" s="17"/>
      <c r="B335" s="18"/>
      <c r="C335" s="50" t="s">
        <v>50</v>
      </c>
      <c r="D335" s="32" t="s">
        <v>32</v>
      </c>
      <c r="E335" s="29" t="s">
        <v>18</v>
      </c>
      <c r="F335" s="29" t="s">
        <v>28</v>
      </c>
      <c r="G335" s="30" t="str">
        <f t="shared" si="1"/>
        <v>16O_12C</v>
      </c>
      <c r="H335" s="45" t="s">
        <v>74</v>
      </c>
      <c r="I335" s="10">
        <v>56.0</v>
      </c>
      <c r="J335" s="11" t="s">
        <v>92</v>
      </c>
      <c r="K335" s="12" t="str">
        <f>IFERROR(__xludf.DUMMYFUNCTION("TEXTJOIN("""",TRUE, REGEXEXTRACT(J335, ""\d+""),""-"",LEFT(C335,3),""-"",LEFT(D335),""-"",LEFT(E335,2),LEFT(F335,2), ""-R"",REGEXEXTRACT(H335, ""\d+"") )"),"56-Per-E-1612-R3")</f>
        <v>56-Per-E-1612-R3</v>
      </c>
      <c r="L335" s="8" t="s">
        <v>25</v>
      </c>
      <c r="M335" s="13">
        <v>4.0</v>
      </c>
      <c r="N335" s="14">
        <v>1.19</v>
      </c>
      <c r="O335" s="19">
        <f>SUM(N332:N337)</f>
        <v>7.24</v>
      </c>
      <c r="P335" s="20">
        <f t="shared" si="2"/>
        <v>4.614404079</v>
      </c>
    </row>
    <row r="336">
      <c r="A336" s="6"/>
      <c r="B336" s="21"/>
      <c r="C336" s="50" t="s">
        <v>50</v>
      </c>
      <c r="D336" s="32" t="s">
        <v>32</v>
      </c>
      <c r="E336" s="29" t="s">
        <v>18</v>
      </c>
      <c r="F336" s="29" t="s">
        <v>28</v>
      </c>
      <c r="G336" s="30" t="str">
        <f t="shared" si="1"/>
        <v>16O_12C</v>
      </c>
      <c r="H336" s="45" t="s">
        <v>74</v>
      </c>
      <c r="I336" s="10">
        <v>56.0</v>
      </c>
      <c r="J336" s="11" t="s">
        <v>92</v>
      </c>
      <c r="K336" s="12" t="str">
        <f>IFERROR(__xludf.DUMMYFUNCTION("TEXTJOIN("""",TRUE, REGEXEXTRACT(J336, ""\d+""),""-"",LEFT(C336,3),""-"",LEFT(D336),""-"",LEFT(E336,2),LEFT(F336,2), ""-R"",REGEXEXTRACT(H336, ""\d+"") )"),"56-Per-E-1612-R3")</f>
        <v>56-Per-E-1612-R3</v>
      </c>
      <c r="L336" s="8" t="s">
        <v>26</v>
      </c>
      <c r="M336" s="13">
        <v>5.0</v>
      </c>
      <c r="N336" s="14">
        <v>1.23</v>
      </c>
      <c r="O336" s="15">
        <f>SUM(N332:N337)</f>
        <v>7.24</v>
      </c>
      <c r="P336" s="16">
        <f t="shared" si="2"/>
        <v>4.614404079</v>
      </c>
    </row>
    <row r="337">
      <c r="A337" s="17"/>
      <c r="B337" s="18"/>
      <c r="C337" s="50" t="s">
        <v>50</v>
      </c>
      <c r="D337" s="32" t="s">
        <v>32</v>
      </c>
      <c r="E337" s="29" t="s">
        <v>18</v>
      </c>
      <c r="F337" s="29" t="s">
        <v>28</v>
      </c>
      <c r="G337" s="30" t="str">
        <f t="shared" si="1"/>
        <v>16O_12C</v>
      </c>
      <c r="H337" s="45" t="s">
        <v>74</v>
      </c>
      <c r="I337" s="10">
        <v>56.0</v>
      </c>
      <c r="J337" s="11" t="s">
        <v>92</v>
      </c>
      <c r="K337" s="12" t="str">
        <f>IFERROR(__xludf.DUMMYFUNCTION("TEXTJOIN("""",TRUE, REGEXEXTRACT(J337, ""\d+""),""-"",LEFT(C337,3),""-"",LEFT(D337),""-"",LEFT(E337,2),LEFT(F337,2), ""-R"",REGEXEXTRACT(H337, ""\d+"") )"),"56-Per-E-1612-R3")</f>
        <v>56-Per-E-1612-R3</v>
      </c>
      <c r="L337" s="8" t="s">
        <v>27</v>
      </c>
      <c r="M337" s="13">
        <v>6.0</v>
      </c>
      <c r="N337" s="14">
        <v>1.22</v>
      </c>
      <c r="O337" s="19">
        <f>SUM(N332:N337)</f>
        <v>7.24</v>
      </c>
      <c r="P337" s="20">
        <f t="shared" si="2"/>
        <v>4.614404079</v>
      </c>
    </row>
    <row r="338">
      <c r="A338" s="6"/>
      <c r="B338" s="21"/>
      <c r="C338" s="49" t="s">
        <v>50</v>
      </c>
      <c r="D338" s="36" t="s">
        <v>36</v>
      </c>
      <c r="E338" s="24" t="s">
        <v>18</v>
      </c>
      <c r="F338" s="24" t="s">
        <v>37</v>
      </c>
      <c r="G338" s="26" t="str">
        <f t="shared" si="1"/>
        <v>16O_No C</v>
      </c>
      <c r="H338" s="45" t="s">
        <v>74</v>
      </c>
      <c r="I338" s="10">
        <v>57.0</v>
      </c>
      <c r="J338" s="11" t="s">
        <v>93</v>
      </c>
      <c r="K338" s="12" t="str">
        <f>IFERROR(__xludf.DUMMYFUNCTION("TEXTJOIN("""",TRUE, REGEXEXTRACT(J338, ""\d+""),""-"",LEFT(C338,3),""-"",LEFT(D338),""-"",LEFT(E338,2),LEFT(F338,2), ""-R"",REGEXEXTRACT(H338, ""\d+"") )"),"57-Per-N-16No-R3")</f>
        <v>57-Per-N-16No-R3</v>
      </c>
      <c r="L338" s="8" t="s">
        <v>22</v>
      </c>
      <c r="M338" s="13">
        <v>1.0</v>
      </c>
      <c r="N338" s="14">
        <v>1.23</v>
      </c>
      <c r="O338" s="15">
        <f>SUM(N338:N343)</f>
        <v>7.31</v>
      </c>
      <c r="P338" s="16">
        <f t="shared" si="2"/>
        <v>4.659018483</v>
      </c>
    </row>
    <row r="339">
      <c r="A339" s="17"/>
      <c r="B339" s="18"/>
      <c r="C339" s="49" t="s">
        <v>50</v>
      </c>
      <c r="D339" s="36" t="s">
        <v>36</v>
      </c>
      <c r="E339" s="24" t="s">
        <v>18</v>
      </c>
      <c r="F339" s="24" t="s">
        <v>37</v>
      </c>
      <c r="G339" s="26" t="str">
        <f t="shared" si="1"/>
        <v>16O_No C</v>
      </c>
      <c r="H339" s="45" t="s">
        <v>74</v>
      </c>
      <c r="I339" s="10">
        <v>57.0</v>
      </c>
      <c r="J339" s="11" t="s">
        <v>93</v>
      </c>
      <c r="K339" s="12" t="str">
        <f>IFERROR(__xludf.DUMMYFUNCTION("TEXTJOIN("""",TRUE, REGEXEXTRACT(J339, ""\d+""),""-"",LEFT(C339,3),""-"",LEFT(D339),""-"",LEFT(E339,2),LEFT(F339,2), ""-R"",REGEXEXTRACT(H339, ""\d+"") )"),"57-Per-N-16No-R3")</f>
        <v>57-Per-N-16No-R3</v>
      </c>
      <c r="L339" s="8" t="s">
        <v>23</v>
      </c>
      <c r="M339" s="13">
        <v>2.0</v>
      </c>
      <c r="N339" s="14">
        <v>1.22</v>
      </c>
      <c r="O339" s="19">
        <f>SUM(N338:N343)</f>
        <v>7.31</v>
      </c>
      <c r="P339" s="20">
        <f t="shared" si="2"/>
        <v>4.659018483</v>
      </c>
    </row>
    <row r="340">
      <c r="A340" s="6"/>
      <c r="B340" s="21"/>
      <c r="C340" s="49" t="s">
        <v>50</v>
      </c>
      <c r="D340" s="36" t="s">
        <v>36</v>
      </c>
      <c r="E340" s="24" t="s">
        <v>18</v>
      </c>
      <c r="F340" s="24" t="s">
        <v>37</v>
      </c>
      <c r="G340" s="26" t="str">
        <f t="shared" si="1"/>
        <v>16O_No C</v>
      </c>
      <c r="H340" s="45" t="s">
        <v>74</v>
      </c>
      <c r="I340" s="10">
        <v>57.0</v>
      </c>
      <c r="J340" s="11" t="s">
        <v>93</v>
      </c>
      <c r="K340" s="12" t="str">
        <f>IFERROR(__xludf.DUMMYFUNCTION("TEXTJOIN("""",TRUE, REGEXEXTRACT(J340, ""\d+""),""-"",LEFT(C340,3),""-"",LEFT(D340),""-"",LEFT(E340,2),LEFT(F340,2), ""-R"",REGEXEXTRACT(H340, ""\d+"") )"),"57-Per-N-16No-R3")</f>
        <v>57-Per-N-16No-R3</v>
      </c>
      <c r="L340" s="8" t="s">
        <v>24</v>
      </c>
      <c r="M340" s="13">
        <v>3.0</v>
      </c>
      <c r="N340" s="14">
        <v>1.22</v>
      </c>
      <c r="O340" s="15">
        <f>SUM(N338:N343)</f>
        <v>7.31</v>
      </c>
      <c r="P340" s="16">
        <f t="shared" si="2"/>
        <v>4.659018483</v>
      </c>
    </row>
    <row r="341">
      <c r="A341" s="17"/>
      <c r="B341" s="18"/>
      <c r="C341" s="49" t="s">
        <v>50</v>
      </c>
      <c r="D341" s="36" t="s">
        <v>36</v>
      </c>
      <c r="E341" s="24" t="s">
        <v>18</v>
      </c>
      <c r="F341" s="24" t="s">
        <v>37</v>
      </c>
      <c r="G341" s="26" t="str">
        <f t="shared" si="1"/>
        <v>16O_No C</v>
      </c>
      <c r="H341" s="45" t="s">
        <v>74</v>
      </c>
      <c r="I341" s="10">
        <v>57.0</v>
      </c>
      <c r="J341" s="11" t="s">
        <v>93</v>
      </c>
      <c r="K341" s="12" t="str">
        <f>IFERROR(__xludf.DUMMYFUNCTION("TEXTJOIN("""",TRUE, REGEXEXTRACT(J341, ""\d+""),""-"",LEFT(C341,3),""-"",LEFT(D341),""-"",LEFT(E341,2),LEFT(F341,2), ""-R"",REGEXEXTRACT(H341, ""\d+"") )"),"57-Per-N-16No-R3")</f>
        <v>57-Per-N-16No-R3</v>
      </c>
      <c r="L341" s="8" t="s">
        <v>25</v>
      </c>
      <c r="M341" s="13">
        <v>4.0</v>
      </c>
      <c r="N341" s="14">
        <v>1.2</v>
      </c>
      <c r="O341" s="19">
        <f>SUM(N338:N343)</f>
        <v>7.31</v>
      </c>
      <c r="P341" s="20">
        <f t="shared" si="2"/>
        <v>4.659018483</v>
      </c>
    </row>
    <row r="342">
      <c r="A342" s="6"/>
      <c r="B342" s="21"/>
      <c r="C342" s="49" t="s">
        <v>50</v>
      </c>
      <c r="D342" s="36" t="s">
        <v>36</v>
      </c>
      <c r="E342" s="24" t="s">
        <v>18</v>
      </c>
      <c r="F342" s="24" t="s">
        <v>37</v>
      </c>
      <c r="G342" s="26" t="str">
        <f t="shared" si="1"/>
        <v>16O_No C</v>
      </c>
      <c r="H342" s="45" t="s">
        <v>74</v>
      </c>
      <c r="I342" s="10">
        <v>57.0</v>
      </c>
      <c r="J342" s="11" t="s">
        <v>93</v>
      </c>
      <c r="K342" s="12" t="str">
        <f>IFERROR(__xludf.DUMMYFUNCTION("TEXTJOIN("""",TRUE, REGEXEXTRACT(J342, ""\d+""),""-"",LEFT(C342,3),""-"",LEFT(D342),""-"",LEFT(E342,2),LEFT(F342,2), ""-R"",REGEXEXTRACT(H342, ""\d+"") )"),"57-Per-N-16No-R3")</f>
        <v>57-Per-N-16No-R3</v>
      </c>
      <c r="L342" s="8" t="s">
        <v>26</v>
      </c>
      <c r="M342" s="13">
        <v>5.0</v>
      </c>
      <c r="N342" s="14">
        <v>1.22</v>
      </c>
      <c r="O342" s="15">
        <f>SUM(N338:N343)</f>
        <v>7.31</v>
      </c>
      <c r="P342" s="16">
        <f t="shared" si="2"/>
        <v>4.659018483</v>
      </c>
    </row>
    <row r="343">
      <c r="A343" s="17"/>
      <c r="B343" s="18"/>
      <c r="C343" s="49" t="s">
        <v>50</v>
      </c>
      <c r="D343" s="36" t="s">
        <v>36</v>
      </c>
      <c r="E343" s="24" t="s">
        <v>18</v>
      </c>
      <c r="F343" s="24" t="s">
        <v>37</v>
      </c>
      <c r="G343" s="26" t="str">
        <f t="shared" si="1"/>
        <v>16O_No C</v>
      </c>
      <c r="H343" s="45" t="s">
        <v>74</v>
      </c>
      <c r="I343" s="10">
        <v>57.0</v>
      </c>
      <c r="J343" s="11" t="s">
        <v>93</v>
      </c>
      <c r="K343" s="12" t="str">
        <f>IFERROR(__xludf.DUMMYFUNCTION("TEXTJOIN("""",TRUE, REGEXEXTRACT(J343, ""\d+""),""-"",LEFT(C343,3),""-"",LEFT(D343),""-"",LEFT(E343,2),LEFT(F343,2), ""-R"",REGEXEXTRACT(H343, ""\d+"") )"),"57-Per-N-16No-R3")</f>
        <v>57-Per-N-16No-R3</v>
      </c>
      <c r="L343" s="8" t="s">
        <v>27</v>
      </c>
      <c r="M343" s="13">
        <v>6.0</v>
      </c>
      <c r="N343" s="14">
        <v>1.22</v>
      </c>
      <c r="O343" s="19">
        <f>SUM(N338:N343)</f>
        <v>7.31</v>
      </c>
      <c r="P343" s="20">
        <f t="shared" si="2"/>
        <v>4.659018483</v>
      </c>
    </row>
    <row r="344">
      <c r="A344" s="6"/>
      <c r="B344" s="21"/>
      <c r="C344" s="22" t="s">
        <v>16</v>
      </c>
      <c r="D344" s="23" t="s">
        <v>17</v>
      </c>
      <c r="E344" s="24" t="s">
        <v>18</v>
      </c>
      <c r="F344" s="25" t="s">
        <v>19</v>
      </c>
      <c r="G344" s="26" t="str">
        <f t="shared" si="1"/>
        <v>16O_13C</v>
      </c>
      <c r="H344" s="45" t="s">
        <v>94</v>
      </c>
      <c r="I344" s="10">
        <v>58.0</v>
      </c>
      <c r="J344" s="11" t="s">
        <v>95</v>
      </c>
      <c r="K344" s="12" t="str">
        <f>IFERROR(__xludf.DUMMYFUNCTION("TEXTJOIN("""",TRUE, REGEXEXTRACT(J344, ""\d+""),""-"",LEFT(C344,3),""-"",LEFT(D344),""-"",LEFT(E344,2),LEFT(F344,2), ""-R"",REGEXEXTRACT(H344, ""\d+"") )"),"58-Rhi-L-1613-R4")</f>
        <v>58-Rhi-L-1613-R4</v>
      </c>
      <c r="L344" s="8" t="s">
        <v>22</v>
      </c>
      <c r="M344" s="13">
        <v>1.0</v>
      </c>
      <c r="N344" s="14">
        <v>1.39</v>
      </c>
      <c r="O344" s="15">
        <f>SUM(N344:N349)</f>
        <v>7.16</v>
      </c>
      <c r="P344" s="16">
        <f t="shared" si="2"/>
        <v>4.563416189</v>
      </c>
    </row>
    <row r="345">
      <c r="A345" s="17"/>
      <c r="B345" s="18"/>
      <c r="C345" s="22" t="s">
        <v>16</v>
      </c>
      <c r="D345" s="23" t="s">
        <v>17</v>
      </c>
      <c r="E345" s="24" t="s">
        <v>18</v>
      </c>
      <c r="F345" s="25" t="s">
        <v>19</v>
      </c>
      <c r="G345" s="26" t="str">
        <f t="shared" si="1"/>
        <v>16O_13C</v>
      </c>
      <c r="H345" s="45" t="s">
        <v>94</v>
      </c>
      <c r="I345" s="10">
        <v>58.0</v>
      </c>
      <c r="J345" s="11" t="s">
        <v>95</v>
      </c>
      <c r="K345" s="12" t="str">
        <f>IFERROR(__xludf.DUMMYFUNCTION("TEXTJOIN("""",TRUE, REGEXEXTRACT(J345, ""\d+""),""-"",LEFT(C345,3),""-"",LEFT(D345),""-"",LEFT(E345,2),LEFT(F345,2), ""-R"",REGEXEXTRACT(H345, ""\d+"") )"),"58-Rhi-L-1613-R4")</f>
        <v>58-Rhi-L-1613-R4</v>
      </c>
      <c r="L345" s="8" t="s">
        <v>23</v>
      </c>
      <c r="M345" s="13">
        <v>2.0</v>
      </c>
      <c r="N345" s="14">
        <f>2.56-1.39</f>
        <v>1.17</v>
      </c>
      <c r="O345" s="19">
        <f>SUM(N344:N349)</f>
        <v>7.16</v>
      </c>
      <c r="P345" s="20">
        <f t="shared" si="2"/>
        <v>4.563416189</v>
      </c>
    </row>
    <row r="346">
      <c r="A346" s="6"/>
      <c r="B346" s="21"/>
      <c r="C346" s="22" t="s">
        <v>16</v>
      </c>
      <c r="D346" s="23" t="s">
        <v>17</v>
      </c>
      <c r="E346" s="24" t="s">
        <v>18</v>
      </c>
      <c r="F346" s="25" t="s">
        <v>19</v>
      </c>
      <c r="G346" s="26" t="str">
        <f t="shared" si="1"/>
        <v>16O_13C</v>
      </c>
      <c r="H346" s="45" t="s">
        <v>94</v>
      </c>
      <c r="I346" s="10">
        <v>58.0</v>
      </c>
      <c r="J346" s="11" t="s">
        <v>95</v>
      </c>
      <c r="K346" s="12" t="str">
        <f>IFERROR(__xludf.DUMMYFUNCTION("TEXTJOIN("""",TRUE, REGEXEXTRACT(J346, ""\d+""),""-"",LEFT(C346,3),""-"",LEFT(D346),""-"",LEFT(E346,2),LEFT(F346,2), ""-R"",REGEXEXTRACT(H346, ""\d+"") )"),"58-Rhi-L-1613-R4")</f>
        <v>58-Rhi-L-1613-R4</v>
      </c>
      <c r="L346" s="8" t="s">
        <v>24</v>
      </c>
      <c r="M346" s="13">
        <v>3.0</v>
      </c>
      <c r="N346" s="14">
        <v>1.16</v>
      </c>
      <c r="O346" s="15">
        <f>SUM(N344:N349)</f>
        <v>7.16</v>
      </c>
      <c r="P346" s="16">
        <f t="shared" si="2"/>
        <v>4.563416189</v>
      </c>
    </row>
    <row r="347">
      <c r="A347" s="17"/>
      <c r="B347" s="18"/>
      <c r="C347" s="22" t="s">
        <v>16</v>
      </c>
      <c r="D347" s="23" t="s">
        <v>17</v>
      </c>
      <c r="E347" s="24" t="s">
        <v>18</v>
      </c>
      <c r="F347" s="25" t="s">
        <v>19</v>
      </c>
      <c r="G347" s="26" t="str">
        <f t="shared" si="1"/>
        <v>16O_13C</v>
      </c>
      <c r="H347" s="45" t="s">
        <v>94</v>
      </c>
      <c r="I347" s="10">
        <v>58.0</v>
      </c>
      <c r="J347" s="11" t="s">
        <v>95</v>
      </c>
      <c r="K347" s="12" t="str">
        <f>IFERROR(__xludf.DUMMYFUNCTION("TEXTJOIN("""",TRUE, REGEXEXTRACT(J347, ""\d+""),""-"",LEFT(C347,3),""-"",LEFT(D347),""-"",LEFT(E347,2),LEFT(F347,2), ""-R"",REGEXEXTRACT(H347, ""\d+"") )"),"58-Rhi-L-1613-R4")</f>
        <v>58-Rhi-L-1613-R4</v>
      </c>
      <c r="L347" s="8" t="s">
        <v>25</v>
      </c>
      <c r="M347" s="13">
        <v>4.0</v>
      </c>
      <c r="N347" s="14">
        <f>2.28-1.16</f>
        <v>1.12</v>
      </c>
      <c r="O347" s="19">
        <f>SUM(N344:N349)</f>
        <v>7.16</v>
      </c>
      <c r="P347" s="20">
        <f t="shared" si="2"/>
        <v>4.563416189</v>
      </c>
    </row>
    <row r="348">
      <c r="A348" s="6"/>
      <c r="B348" s="21"/>
      <c r="C348" s="22" t="s">
        <v>16</v>
      </c>
      <c r="D348" s="23" t="s">
        <v>17</v>
      </c>
      <c r="E348" s="24" t="s">
        <v>18</v>
      </c>
      <c r="F348" s="25" t="s">
        <v>19</v>
      </c>
      <c r="G348" s="26" t="str">
        <f t="shared" si="1"/>
        <v>16O_13C</v>
      </c>
      <c r="H348" s="45" t="s">
        <v>94</v>
      </c>
      <c r="I348" s="10">
        <v>58.0</v>
      </c>
      <c r="J348" s="11" t="s">
        <v>95</v>
      </c>
      <c r="K348" s="12" t="str">
        <f>IFERROR(__xludf.DUMMYFUNCTION("TEXTJOIN("""",TRUE, REGEXEXTRACT(J348, ""\d+""),""-"",LEFT(C348,3),""-"",LEFT(D348),""-"",LEFT(E348,2),LEFT(F348,2), ""-R"",REGEXEXTRACT(H348, ""\d+"") )"),"58-Rhi-L-1613-R4")</f>
        <v>58-Rhi-L-1613-R4</v>
      </c>
      <c r="L348" s="8" t="s">
        <v>26</v>
      </c>
      <c r="M348" s="13">
        <v>5.0</v>
      </c>
      <c r="N348" s="14">
        <v>1.2</v>
      </c>
      <c r="O348" s="15">
        <f>SUM(N344:N349)</f>
        <v>7.16</v>
      </c>
      <c r="P348" s="16">
        <f t="shared" si="2"/>
        <v>4.563416189</v>
      </c>
    </row>
    <row r="349">
      <c r="A349" s="17"/>
      <c r="B349" s="18"/>
      <c r="C349" s="22" t="s">
        <v>16</v>
      </c>
      <c r="D349" s="23" t="s">
        <v>17</v>
      </c>
      <c r="E349" s="24" t="s">
        <v>18</v>
      </c>
      <c r="F349" s="25" t="s">
        <v>19</v>
      </c>
      <c r="G349" s="26" t="str">
        <f t="shared" si="1"/>
        <v>16O_13C</v>
      </c>
      <c r="H349" s="45" t="s">
        <v>94</v>
      </c>
      <c r="I349" s="10">
        <v>58.0</v>
      </c>
      <c r="J349" s="11" t="s">
        <v>95</v>
      </c>
      <c r="K349" s="12" t="str">
        <f>IFERROR(__xludf.DUMMYFUNCTION("TEXTJOIN("""",TRUE, REGEXEXTRACT(J349, ""\d+""),""-"",LEFT(C349,3),""-"",LEFT(D349),""-"",LEFT(E349,2),LEFT(F349,2), ""-R"",REGEXEXTRACT(H349, ""\d+"") )"),"58-Rhi-L-1613-R4")</f>
        <v>58-Rhi-L-1613-R4</v>
      </c>
      <c r="L349" s="8" t="s">
        <v>27</v>
      </c>
      <c r="M349" s="13">
        <v>6.0</v>
      </c>
      <c r="N349" s="14">
        <v>1.12</v>
      </c>
      <c r="O349" s="19">
        <f>SUM(N344:N349)</f>
        <v>7.16</v>
      </c>
      <c r="P349" s="20">
        <f t="shared" si="2"/>
        <v>4.563416189</v>
      </c>
    </row>
    <row r="350">
      <c r="A350" s="6"/>
      <c r="B350" s="21"/>
      <c r="C350" s="22" t="s">
        <v>16</v>
      </c>
      <c r="D350" s="28" t="s">
        <v>17</v>
      </c>
      <c r="E350" s="29" t="s">
        <v>18</v>
      </c>
      <c r="F350" s="29" t="s">
        <v>28</v>
      </c>
      <c r="G350" s="30" t="str">
        <f t="shared" si="1"/>
        <v>16O_12C</v>
      </c>
      <c r="H350" s="45" t="s">
        <v>94</v>
      </c>
      <c r="I350" s="10">
        <v>59.0</v>
      </c>
      <c r="J350" s="11" t="s">
        <v>96</v>
      </c>
      <c r="K350" s="12" t="str">
        <f>IFERROR(__xludf.DUMMYFUNCTION("TEXTJOIN("""",TRUE, REGEXEXTRACT(J350, ""\d+""),""-"",LEFT(C350,3),""-"",LEFT(D350),""-"",LEFT(E350,2),LEFT(F350,2), ""-R"",REGEXEXTRACT(H350, ""\d+"") )"),"59-Rhi-L-1612-R4")</f>
        <v>59-Rhi-L-1612-R4</v>
      </c>
      <c r="L350" s="8" t="s">
        <v>22</v>
      </c>
      <c r="M350" s="13">
        <v>1.0</v>
      </c>
      <c r="N350" s="14">
        <v>1.15</v>
      </c>
      <c r="O350" s="15">
        <f>SUM(N350:N355)</f>
        <v>6.96</v>
      </c>
      <c r="P350" s="16">
        <f t="shared" si="2"/>
        <v>4.435946463</v>
      </c>
    </row>
    <row r="351">
      <c r="A351" s="17"/>
      <c r="B351" s="18"/>
      <c r="C351" s="22" t="s">
        <v>16</v>
      </c>
      <c r="D351" s="28" t="s">
        <v>17</v>
      </c>
      <c r="E351" s="29" t="s">
        <v>18</v>
      </c>
      <c r="F351" s="29" t="s">
        <v>28</v>
      </c>
      <c r="G351" s="30" t="str">
        <f t="shared" si="1"/>
        <v>16O_12C</v>
      </c>
      <c r="H351" s="45" t="s">
        <v>94</v>
      </c>
      <c r="I351" s="10">
        <v>59.0</v>
      </c>
      <c r="J351" s="11" t="s">
        <v>96</v>
      </c>
      <c r="K351" s="12" t="str">
        <f>IFERROR(__xludf.DUMMYFUNCTION("TEXTJOIN("""",TRUE, REGEXEXTRACT(J351, ""\d+""),""-"",LEFT(C351,3),""-"",LEFT(D351),""-"",LEFT(E351,2),LEFT(F351,2), ""-R"",REGEXEXTRACT(H351, ""\d+"") )"),"59-Rhi-L-1612-R4")</f>
        <v>59-Rhi-L-1612-R4</v>
      </c>
      <c r="L351" s="8" t="s">
        <v>23</v>
      </c>
      <c r="M351" s="13">
        <v>2.0</v>
      </c>
      <c r="N351" s="14">
        <v>1.16</v>
      </c>
      <c r="O351" s="19">
        <f>SUM(N350:N355)</f>
        <v>6.96</v>
      </c>
      <c r="P351" s="20">
        <f t="shared" si="2"/>
        <v>4.435946463</v>
      </c>
    </row>
    <row r="352">
      <c r="A352" s="6"/>
      <c r="B352" s="21"/>
      <c r="C352" s="22" t="s">
        <v>16</v>
      </c>
      <c r="D352" s="28" t="s">
        <v>17</v>
      </c>
      <c r="E352" s="29" t="s">
        <v>18</v>
      </c>
      <c r="F352" s="29" t="s">
        <v>28</v>
      </c>
      <c r="G352" s="30" t="str">
        <f t="shared" si="1"/>
        <v>16O_12C</v>
      </c>
      <c r="H352" s="45" t="s">
        <v>94</v>
      </c>
      <c r="I352" s="10">
        <v>59.0</v>
      </c>
      <c r="J352" s="11" t="s">
        <v>96</v>
      </c>
      <c r="K352" s="12" t="str">
        <f>IFERROR(__xludf.DUMMYFUNCTION("TEXTJOIN("""",TRUE, REGEXEXTRACT(J352, ""\d+""),""-"",LEFT(C352,3),""-"",LEFT(D352),""-"",LEFT(E352,2),LEFT(F352,2), ""-R"",REGEXEXTRACT(H352, ""\d+"") )"),"59-Rhi-L-1612-R4")</f>
        <v>59-Rhi-L-1612-R4</v>
      </c>
      <c r="L352" s="8" t="s">
        <v>24</v>
      </c>
      <c r="M352" s="13">
        <v>3.0</v>
      </c>
      <c r="N352" s="14">
        <v>1.16</v>
      </c>
      <c r="O352" s="15">
        <f>SUM(N350:N355)</f>
        <v>6.96</v>
      </c>
      <c r="P352" s="16">
        <f t="shared" si="2"/>
        <v>4.435946463</v>
      </c>
    </row>
    <row r="353">
      <c r="A353" s="17"/>
      <c r="B353" s="18"/>
      <c r="C353" s="22" t="s">
        <v>16</v>
      </c>
      <c r="D353" s="28" t="s">
        <v>17</v>
      </c>
      <c r="E353" s="29" t="s">
        <v>18</v>
      </c>
      <c r="F353" s="29" t="s">
        <v>28</v>
      </c>
      <c r="G353" s="30" t="str">
        <f t="shared" si="1"/>
        <v>16O_12C</v>
      </c>
      <c r="H353" s="45" t="s">
        <v>94</v>
      </c>
      <c r="I353" s="10">
        <v>59.0</v>
      </c>
      <c r="J353" s="11" t="s">
        <v>96</v>
      </c>
      <c r="K353" s="12" t="str">
        <f>IFERROR(__xludf.DUMMYFUNCTION("TEXTJOIN("""",TRUE, REGEXEXTRACT(J353, ""\d+""),""-"",LEFT(C353,3),""-"",LEFT(D353),""-"",LEFT(E353,2),LEFT(F353,2), ""-R"",REGEXEXTRACT(H353, ""\d+"") )"),"59-Rhi-L-1612-R4")</f>
        <v>59-Rhi-L-1612-R4</v>
      </c>
      <c r="L353" s="8" t="s">
        <v>25</v>
      </c>
      <c r="M353" s="13">
        <v>4.0</v>
      </c>
      <c r="N353" s="14">
        <v>1.17</v>
      </c>
      <c r="O353" s="19">
        <f>SUM(N350:N355)</f>
        <v>6.96</v>
      </c>
      <c r="P353" s="20">
        <f t="shared" si="2"/>
        <v>4.435946463</v>
      </c>
    </row>
    <row r="354">
      <c r="A354" s="6"/>
      <c r="B354" s="21"/>
      <c r="C354" s="22" t="s">
        <v>16</v>
      </c>
      <c r="D354" s="28" t="s">
        <v>17</v>
      </c>
      <c r="E354" s="29" t="s">
        <v>18</v>
      </c>
      <c r="F354" s="29" t="s">
        <v>28</v>
      </c>
      <c r="G354" s="30" t="str">
        <f t="shared" si="1"/>
        <v>16O_12C</v>
      </c>
      <c r="H354" s="45" t="s">
        <v>94</v>
      </c>
      <c r="I354" s="10">
        <v>59.0</v>
      </c>
      <c r="J354" s="11" t="s">
        <v>96</v>
      </c>
      <c r="K354" s="12" t="str">
        <f>IFERROR(__xludf.DUMMYFUNCTION("TEXTJOIN("""",TRUE, REGEXEXTRACT(J354, ""\d+""),""-"",LEFT(C354,3),""-"",LEFT(D354),""-"",LEFT(E354,2),LEFT(F354,2), ""-R"",REGEXEXTRACT(H354, ""\d+"") )"),"59-Rhi-L-1612-R4")</f>
        <v>59-Rhi-L-1612-R4</v>
      </c>
      <c r="L354" s="8" t="s">
        <v>26</v>
      </c>
      <c r="M354" s="13">
        <v>5.0</v>
      </c>
      <c r="N354" s="14">
        <v>1.13</v>
      </c>
      <c r="O354" s="15">
        <f>SUM(N350:N355)</f>
        <v>6.96</v>
      </c>
      <c r="P354" s="16">
        <f t="shared" si="2"/>
        <v>4.435946463</v>
      </c>
    </row>
    <row r="355">
      <c r="A355" s="17"/>
      <c r="B355" s="18"/>
      <c r="C355" s="22" t="s">
        <v>16</v>
      </c>
      <c r="D355" s="28" t="s">
        <v>17</v>
      </c>
      <c r="E355" s="29" t="s">
        <v>18</v>
      </c>
      <c r="F355" s="29" t="s">
        <v>28</v>
      </c>
      <c r="G355" s="30" t="str">
        <f t="shared" si="1"/>
        <v>16O_12C</v>
      </c>
      <c r="H355" s="45" t="s">
        <v>94</v>
      </c>
      <c r="I355" s="10">
        <v>59.0</v>
      </c>
      <c r="J355" s="11" t="s">
        <v>96</v>
      </c>
      <c r="K355" s="12" t="str">
        <f>IFERROR(__xludf.DUMMYFUNCTION("TEXTJOIN("""",TRUE, REGEXEXTRACT(J355, ""\d+""),""-"",LEFT(C355,3),""-"",LEFT(D355),""-"",LEFT(E355,2),LEFT(F355,2), ""-R"",REGEXEXTRACT(H355, ""\d+"") )"),"59-Rhi-L-1612-R4")</f>
        <v>59-Rhi-L-1612-R4</v>
      </c>
      <c r="L355" s="8" t="s">
        <v>27</v>
      </c>
      <c r="M355" s="13">
        <v>6.0</v>
      </c>
      <c r="N355" s="14">
        <f>2.32-1.13</f>
        <v>1.19</v>
      </c>
      <c r="O355" s="19">
        <f>SUM(N350:N355)</f>
        <v>6.96</v>
      </c>
      <c r="P355" s="20">
        <f t="shared" si="2"/>
        <v>4.435946463</v>
      </c>
    </row>
    <row r="356">
      <c r="A356" s="6"/>
      <c r="B356" s="21"/>
      <c r="C356" s="22" t="s">
        <v>16</v>
      </c>
      <c r="D356" s="23" t="s">
        <v>17</v>
      </c>
      <c r="E356" s="25" t="s">
        <v>30</v>
      </c>
      <c r="F356" s="24" t="s">
        <v>28</v>
      </c>
      <c r="G356" s="26" t="str">
        <f t="shared" si="1"/>
        <v>18O_12C</v>
      </c>
      <c r="H356" s="45" t="s">
        <v>94</v>
      </c>
      <c r="I356" s="10">
        <v>60.0</v>
      </c>
      <c r="J356" s="11" t="s">
        <v>97</v>
      </c>
      <c r="K356" s="12" t="str">
        <f>IFERROR(__xludf.DUMMYFUNCTION("TEXTJOIN("""",TRUE, REGEXEXTRACT(J356, ""\d+""),""-"",LEFT(C356,3),""-"",LEFT(D356),""-"",LEFT(E356,2),LEFT(F356,2), ""-R"",REGEXEXTRACT(H356, ""\d+"") )"),"60-Rhi-L-1812-R4")</f>
        <v>60-Rhi-L-1812-R4</v>
      </c>
      <c r="L356" s="8" t="s">
        <v>22</v>
      </c>
      <c r="M356" s="13">
        <v>1.0</v>
      </c>
      <c r="N356" s="14">
        <v>1.9</v>
      </c>
      <c r="O356" s="15">
        <f>SUM(N356:N361)</f>
        <v>11.24</v>
      </c>
      <c r="P356" s="16">
        <f t="shared" si="2"/>
        <v>7.163798598</v>
      </c>
    </row>
    <row r="357">
      <c r="A357" s="17"/>
      <c r="B357" s="18"/>
      <c r="C357" s="22" t="s">
        <v>16</v>
      </c>
      <c r="D357" s="23" t="s">
        <v>17</v>
      </c>
      <c r="E357" s="25" t="s">
        <v>30</v>
      </c>
      <c r="F357" s="24" t="s">
        <v>28</v>
      </c>
      <c r="G357" s="26" t="str">
        <f t="shared" si="1"/>
        <v>18O_12C</v>
      </c>
      <c r="H357" s="45" t="s">
        <v>94</v>
      </c>
      <c r="I357" s="10">
        <v>60.0</v>
      </c>
      <c r="J357" s="11" t="s">
        <v>97</v>
      </c>
      <c r="K357" s="12" t="str">
        <f>IFERROR(__xludf.DUMMYFUNCTION("TEXTJOIN("""",TRUE, REGEXEXTRACT(J357, ""\d+""),""-"",LEFT(C357,3),""-"",LEFT(D357),""-"",LEFT(E357,2),LEFT(F357,2), ""-R"",REGEXEXTRACT(H357, ""\d+"") )"),"60-Rhi-L-1812-R4")</f>
        <v>60-Rhi-L-1812-R4</v>
      </c>
      <c r="L357" s="8" t="s">
        <v>23</v>
      </c>
      <c r="M357" s="13">
        <v>2.0</v>
      </c>
      <c r="N357" s="14">
        <f>3.8-1.9</f>
        <v>1.9</v>
      </c>
      <c r="O357" s="19">
        <f>SUM(N356:N361)</f>
        <v>11.24</v>
      </c>
      <c r="P357" s="20">
        <f t="shared" si="2"/>
        <v>7.163798598</v>
      </c>
    </row>
    <row r="358">
      <c r="A358" s="6"/>
      <c r="B358" s="21"/>
      <c r="C358" s="22" t="s">
        <v>16</v>
      </c>
      <c r="D358" s="23" t="s">
        <v>17</v>
      </c>
      <c r="E358" s="25" t="s">
        <v>30</v>
      </c>
      <c r="F358" s="24" t="s">
        <v>28</v>
      </c>
      <c r="G358" s="26" t="str">
        <f t="shared" si="1"/>
        <v>18O_12C</v>
      </c>
      <c r="H358" s="45" t="s">
        <v>94</v>
      </c>
      <c r="I358" s="10">
        <v>60.0</v>
      </c>
      <c r="J358" s="11" t="s">
        <v>97</v>
      </c>
      <c r="K358" s="12" t="str">
        <f>IFERROR(__xludf.DUMMYFUNCTION("TEXTJOIN("""",TRUE, REGEXEXTRACT(J358, ""\d+""),""-"",LEFT(C358,3),""-"",LEFT(D358),""-"",LEFT(E358,2),LEFT(F358,2), ""-R"",REGEXEXTRACT(H358, ""\d+"") )"),"60-Rhi-L-1812-R4")</f>
        <v>60-Rhi-L-1812-R4</v>
      </c>
      <c r="L358" s="8" t="s">
        <v>24</v>
      </c>
      <c r="M358" s="13">
        <v>3.0</v>
      </c>
      <c r="N358" s="14">
        <v>1.83</v>
      </c>
      <c r="O358" s="15">
        <f>SUM(N356:N361)</f>
        <v>11.24</v>
      </c>
      <c r="P358" s="16">
        <f t="shared" si="2"/>
        <v>7.163798598</v>
      </c>
    </row>
    <row r="359">
      <c r="A359" s="17"/>
      <c r="B359" s="18"/>
      <c r="C359" s="22" t="s">
        <v>16</v>
      </c>
      <c r="D359" s="23" t="s">
        <v>17</v>
      </c>
      <c r="E359" s="25" t="s">
        <v>30</v>
      </c>
      <c r="F359" s="24" t="s">
        <v>28</v>
      </c>
      <c r="G359" s="26" t="str">
        <f t="shared" si="1"/>
        <v>18O_12C</v>
      </c>
      <c r="H359" s="45" t="s">
        <v>94</v>
      </c>
      <c r="I359" s="10">
        <v>60.0</v>
      </c>
      <c r="J359" s="11" t="s">
        <v>97</v>
      </c>
      <c r="K359" s="12" t="str">
        <f>IFERROR(__xludf.DUMMYFUNCTION("TEXTJOIN("""",TRUE, REGEXEXTRACT(J359, ""\d+""),""-"",LEFT(C359,3),""-"",LEFT(D359),""-"",LEFT(E359,2),LEFT(F359,2), ""-R"",REGEXEXTRACT(H359, ""\d+"") )"),"60-Rhi-L-1812-R4")</f>
        <v>60-Rhi-L-1812-R4</v>
      </c>
      <c r="L359" s="8" t="s">
        <v>25</v>
      </c>
      <c r="M359" s="13">
        <v>4.0</v>
      </c>
      <c r="N359" s="14">
        <v>1.87</v>
      </c>
      <c r="O359" s="19">
        <f>SUM(N356:N361)</f>
        <v>11.24</v>
      </c>
      <c r="P359" s="20">
        <f t="shared" si="2"/>
        <v>7.163798598</v>
      </c>
    </row>
    <row r="360">
      <c r="A360" s="6"/>
      <c r="B360" s="21"/>
      <c r="C360" s="22" t="s">
        <v>16</v>
      </c>
      <c r="D360" s="23" t="s">
        <v>17</v>
      </c>
      <c r="E360" s="25" t="s">
        <v>30</v>
      </c>
      <c r="F360" s="24" t="s">
        <v>28</v>
      </c>
      <c r="G360" s="26" t="str">
        <f t="shared" si="1"/>
        <v>18O_12C</v>
      </c>
      <c r="H360" s="45" t="s">
        <v>94</v>
      </c>
      <c r="I360" s="10">
        <v>60.0</v>
      </c>
      <c r="J360" s="11" t="s">
        <v>97</v>
      </c>
      <c r="K360" s="12" t="str">
        <f>IFERROR(__xludf.DUMMYFUNCTION("TEXTJOIN("""",TRUE, REGEXEXTRACT(J360, ""\d+""),""-"",LEFT(C360,3),""-"",LEFT(D360),""-"",LEFT(E360,2),LEFT(F360,2), ""-R"",REGEXEXTRACT(H360, ""\d+"") )"),"60-Rhi-L-1812-R4")</f>
        <v>60-Rhi-L-1812-R4</v>
      </c>
      <c r="L360" s="8" t="s">
        <v>26</v>
      </c>
      <c r="M360" s="13">
        <v>5.0</v>
      </c>
      <c r="N360" s="14">
        <v>1.9</v>
      </c>
      <c r="O360" s="15">
        <f>SUM(N356:N361)</f>
        <v>11.24</v>
      </c>
      <c r="P360" s="16">
        <f t="shared" si="2"/>
        <v>7.163798598</v>
      </c>
    </row>
    <row r="361">
      <c r="A361" s="17"/>
      <c r="B361" s="18"/>
      <c r="C361" s="22" t="s">
        <v>16</v>
      </c>
      <c r="D361" s="23" t="s">
        <v>17</v>
      </c>
      <c r="E361" s="25" t="s">
        <v>30</v>
      </c>
      <c r="F361" s="24" t="s">
        <v>28</v>
      </c>
      <c r="G361" s="26" t="str">
        <f t="shared" si="1"/>
        <v>18O_12C</v>
      </c>
      <c r="H361" s="45" t="s">
        <v>94</v>
      </c>
      <c r="I361" s="10">
        <v>60.0</v>
      </c>
      <c r="J361" s="11" t="s">
        <v>97</v>
      </c>
      <c r="K361" s="12" t="str">
        <f>IFERROR(__xludf.DUMMYFUNCTION("TEXTJOIN("""",TRUE, REGEXEXTRACT(J361, ""\d+""),""-"",LEFT(C361,3),""-"",LEFT(D361),""-"",LEFT(E361,2),LEFT(F361,2), ""-R"",REGEXEXTRACT(H361, ""\d+"") )"),"60-Rhi-L-1812-R4")</f>
        <v>60-Rhi-L-1812-R4</v>
      </c>
      <c r="L361" s="8" t="s">
        <v>27</v>
      </c>
      <c r="M361" s="13">
        <v>6.0</v>
      </c>
      <c r="N361" s="14">
        <f>3.74-1.9</f>
        <v>1.84</v>
      </c>
      <c r="O361" s="19">
        <f>SUM(N356:N361)</f>
        <v>11.24</v>
      </c>
      <c r="P361" s="20">
        <f t="shared" si="2"/>
        <v>7.163798598</v>
      </c>
    </row>
    <row r="362">
      <c r="A362" s="6"/>
      <c r="B362" s="21"/>
      <c r="C362" s="22" t="s">
        <v>16</v>
      </c>
      <c r="D362" s="32" t="s">
        <v>32</v>
      </c>
      <c r="E362" s="29" t="s">
        <v>18</v>
      </c>
      <c r="F362" s="33" t="s">
        <v>19</v>
      </c>
      <c r="G362" s="30" t="str">
        <f t="shared" si="1"/>
        <v>16O_13C</v>
      </c>
      <c r="H362" s="45" t="s">
        <v>94</v>
      </c>
      <c r="I362" s="10">
        <v>61.0</v>
      </c>
      <c r="J362" s="11" t="s">
        <v>98</v>
      </c>
      <c r="K362" s="12" t="str">
        <f>IFERROR(__xludf.DUMMYFUNCTION("TEXTJOIN("""",TRUE, REGEXEXTRACT(J362, ""\d+""),""-"",LEFT(C362,3),""-"",LEFT(D362),""-"",LEFT(E362,2),LEFT(F362,2), ""-R"",REGEXEXTRACT(H362, ""\d+"") )"),"61-Rhi-E-1613-R4")</f>
        <v>61-Rhi-E-1613-R4</v>
      </c>
      <c r="L362" s="8" t="s">
        <v>22</v>
      </c>
      <c r="M362" s="13">
        <v>1.0</v>
      </c>
      <c r="N362" s="14">
        <v>1.9</v>
      </c>
      <c r="O362" s="15">
        <f>SUM(N362:N367)</f>
        <v>11.46</v>
      </c>
      <c r="P362" s="16">
        <f t="shared" si="2"/>
        <v>7.304015296</v>
      </c>
    </row>
    <row r="363">
      <c r="A363" s="17"/>
      <c r="B363" s="18"/>
      <c r="C363" s="22" t="s">
        <v>16</v>
      </c>
      <c r="D363" s="32" t="s">
        <v>32</v>
      </c>
      <c r="E363" s="29" t="s">
        <v>18</v>
      </c>
      <c r="F363" s="33" t="s">
        <v>19</v>
      </c>
      <c r="G363" s="30" t="str">
        <f t="shared" si="1"/>
        <v>16O_13C</v>
      </c>
      <c r="H363" s="45" t="s">
        <v>94</v>
      </c>
      <c r="I363" s="10">
        <v>61.0</v>
      </c>
      <c r="J363" s="11" t="s">
        <v>98</v>
      </c>
      <c r="K363" s="12" t="str">
        <f>IFERROR(__xludf.DUMMYFUNCTION("TEXTJOIN("""",TRUE, REGEXEXTRACT(J363, ""\d+""),""-"",LEFT(C363,3),""-"",LEFT(D363),""-"",LEFT(E363,2),LEFT(F363,2), ""-R"",REGEXEXTRACT(H363, ""\d+"") )"),"61-Rhi-E-1613-R4")</f>
        <v>61-Rhi-E-1613-R4</v>
      </c>
      <c r="L363" s="8" t="s">
        <v>23</v>
      </c>
      <c r="M363" s="13">
        <v>2.0</v>
      </c>
      <c r="N363" s="14">
        <v>1.9</v>
      </c>
      <c r="O363" s="19">
        <f>SUM(N362:N367)</f>
        <v>11.46</v>
      </c>
      <c r="P363" s="20">
        <f t="shared" si="2"/>
        <v>7.304015296</v>
      </c>
    </row>
    <row r="364">
      <c r="A364" s="6"/>
      <c r="B364" s="21"/>
      <c r="C364" s="22" t="s">
        <v>16</v>
      </c>
      <c r="D364" s="32" t="s">
        <v>32</v>
      </c>
      <c r="E364" s="29" t="s">
        <v>18</v>
      </c>
      <c r="F364" s="33" t="s">
        <v>19</v>
      </c>
      <c r="G364" s="30" t="str">
        <f t="shared" si="1"/>
        <v>16O_13C</v>
      </c>
      <c r="H364" s="45" t="s">
        <v>94</v>
      </c>
      <c r="I364" s="10">
        <v>61.0</v>
      </c>
      <c r="J364" s="11" t="s">
        <v>98</v>
      </c>
      <c r="K364" s="12" t="str">
        <f>IFERROR(__xludf.DUMMYFUNCTION("TEXTJOIN("""",TRUE, REGEXEXTRACT(J364, ""\d+""),""-"",LEFT(C364,3),""-"",LEFT(D364),""-"",LEFT(E364,2),LEFT(F364,2), ""-R"",REGEXEXTRACT(H364, ""\d+"") )"),"61-Rhi-E-1613-R4")</f>
        <v>61-Rhi-E-1613-R4</v>
      </c>
      <c r="L364" s="8" t="s">
        <v>24</v>
      </c>
      <c r="M364" s="13">
        <v>3.0</v>
      </c>
      <c r="N364" s="14">
        <v>1.93</v>
      </c>
      <c r="O364" s="15">
        <f>SUM(N362:N367)</f>
        <v>11.46</v>
      </c>
      <c r="P364" s="16">
        <f t="shared" si="2"/>
        <v>7.304015296</v>
      </c>
    </row>
    <row r="365">
      <c r="A365" s="17"/>
      <c r="B365" s="18"/>
      <c r="C365" s="22" t="s">
        <v>16</v>
      </c>
      <c r="D365" s="32" t="s">
        <v>32</v>
      </c>
      <c r="E365" s="29" t="s">
        <v>18</v>
      </c>
      <c r="F365" s="33" t="s">
        <v>19</v>
      </c>
      <c r="G365" s="30" t="str">
        <f t="shared" si="1"/>
        <v>16O_13C</v>
      </c>
      <c r="H365" s="45" t="s">
        <v>94</v>
      </c>
      <c r="I365" s="10">
        <v>61.0</v>
      </c>
      <c r="J365" s="11" t="s">
        <v>98</v>
      </c>
      <c r="K365" s="12" t="str">
        <f>IFERROR(__xludf.DUMMYFUNCTION("TEXTJOIN("""",TRUE, REGEXEXTRACT(J365, ""\d+""),""-"",LEFT(C365,3),""-"",LEFT(D365),""-"",LEFT(E365,2),LEFT(F365,2), ""-R"",REGEXEXTRACT(H365, ""\d+"") )"),"61-Rhi-E-1613-R4")</f>
        <v>61-Rhi-E-1613-R4</v>
      </c>
      <c r="L365" s="8" t="s">
        <v>25</v>
      </c>
      <c r="M365" s="13">
        <v>4.0</v>
      </c>
      <c r="N365" s="14">
        <v>1.86</v>
      </c>
      <c r="O365" s="19">
        <f>SUM(N362:N367)</f>
        <v>11.46</v>
      </c>
      <c r="P365" s="20">
        <f t="shared" si="2"/>
        <v>7.304015296</v>
      </c>
    </row>
    <row r="366">
      <c r="A366" s="6"/>
      <c r="B366" s="21"/>
      <c r="C366" s="22" t="s">
        <v>16</v>
      </c>
      <c r="D366" s="32" t="s">
        <v>32</v>
      </c>
      <c r="E366" s="29" t="s">
        <v>18</v>
      </c>
      <c r="F366" s="33" t="s">
        <v>19</v>
      </c>
      <c r="G366" s="30" t="str">
        <f t="shared" si="1"/>
        <v>16O_13C</v>
      </c>
      <c r="H366" s="45" t="s">
        <v>94</v>
      </c>
      <c r="I366" s="10">
        <v>61.0</v>
      </c>
      <c r="J366" s="11" t="s">
        <v>98</v>
      </c>
      <c r="K366" s="12" t="str">
        <f>IFERROR(__xludf.DUMMYFUNCTION("TEXTJOIN("""",TRUE, REGEXEXTRACT(J366, ""\d+""),""-"",LEFT(C366,3),""-"",LEFT(D366),""-"",LEFT(E366,2),LEFT(F366,2), ""-R"",REGEXEXTRACT(H366, ""\d+"") )"),"61-Rhi-E-1613-R4")</f>
        <v>61-Rhi-E-1613-R4</v>
      </c>
      <c r="L366" s="8" t="s">
        <v>26</v>
      </c>
      <c r="M366" s="13">
        <v>5.0</v>
      </c>
      <c r="N366" s="14">
        <v>1.96</v>
      </c>
      <c r="O366" s="15">
        <f>SUM(N362:N367)</f>
        <v>11.46</v>
      </c>
      <c r="P366" s="16">
        <f t="shared" si="2"/>
        <v>7.304015296</v>
      </c>
    </row>
    <row r="367">
      <c r="A367" s="17"/>
      <c r="B367" s="18"/>
      <c r="C367" s="22" t="s">
        <v>16</v>
      </c>
      <c r="D367" s="32" t="s">
        <v>32</v>
      </c>
      <c r="E367" s="29" t="s">
        <v>18</v>
      </c>
      <c r="F367" s="33" t="s">
        <v>19</v>
      </c>
      <c r="G367" s="30" t="str">
        <f t="shared" si="1"/>
        <v>16O_13C</v>
      </c>
      <c r="H367" s="45" t="s">
        <v>94</v>
      </c>
      <c r="I367" s="10">
        <v>61.0</v>
      </c>
      <c r="J367" s="11" t="s">
        <v>98</v>
      </c>
      <c r="K367" s="12" t="str">
        <f>IFERROR(__xludf.DUMMYFUNCTION("TEXTJOIN("""",TRUE, REGEXEXTRACT(J367, ""\d+""),""-"",LEFT(C367,3),""-"",LEFT(D367),""-"",LEFT(E367,2),LEFT(F367,2), ""-R"",REGEXEXTRACT(H367, ""\d+"") )"),"61-Rhi-E-1613-R4")</f>
        <v>61-Rhi-E-1613-R4</v>
      </c>
      <c r="L367" s="8" t="s">
        <v>27</v>
      </c>
      <c r="M367" s="13">
        <v>6.0</v>
      </c>
      <c r="N367" s="14">
        <v>1.91</v>
      </c>
      <c r="O367" s="19">
        <f>SUM(N362:N367)</f>
        <v>11.46</v>
      </c>
      <c r="P367" s="20">
        <f t="shared" si="2"/>
        <v>7.304015296</v>
      </c>
    </row>
    <row r="368">
      <c r="A368" s="6"/>
      <c r="B368" s="21"/>
      <c r="C368" s="22" t="s">
        <v>16</v>
      </c>
      <c r="D368" s="35" t="s">
        <v>32</v>
      </c>
      <c r="E368" s="24" t="s">
        <v>18</v>
      </c>
      <c r="F368" s="24" t="s">
        <v>28</v>
      </c>
      <c r="G368" s="26" t="str">
        <f t="shared" si="1"/>
        <v>16O_12C</v>
      </c>
      <c r="H368" s="45" t="s">
        <v>94</v>
      </c>
      <c r="I368" s="10">
        <v>62.0</v>
      </c>
      <c r="J368" s="11" t="s">
        <v>99</v>
      </c>
      <c r="K368" s="12" t="str">
        <f>IFERROR(__xludf.DUMMYFUNCTION("TEXTJOIN("""",TRUE, REGEXEXTRACT(J368, ""\d+""),""-"",LEFT(C368,3),""-"",LEFT(D368),""-"",LEFT(E368,2),LEFT(F368,2), ""-R"",REGEXEXTRACT(H368, ""\d+"") )"),"62-Rhi-E-1612-R4")</f>
        <v>62-Rhi-E-1612-R4</v>
      </c>
      <c r="L368" s="8" t="s">
        <v>22</v>
      </c>
      <c r="M368" s="13">
        <v>1.0</v>
      </c>
      <c r="N368" s="14">
        <v>1.85</v>
      </c>
      <c r="O368" s="15">
        <f>SUM(N368:N373)</f>
        <v>11.37</v>
      </c>
      <c r="P368" s="16">
        <f t="shared" si="2"/>
        <v>7.24665392</v>
      </c>
    </row>
    <row r="369">
      <c r="A369" s="17"/>
      <c r="B369" s="18"/>
      <c r="C369" s="22" t="s">
        <v>16</v>
      </c>
      <c r="D369" s="35" t="s">
        <v>32</v>
      </c>
      <c r="E369" s="24" t="s">
        <v>18</v>
      </c>
      <c r="F369" s="24" t="s">
        <v>28</v>
      </c>
      <c r="G369" s="26" t="str">
        <f t="shared" si="1"/>
        <v>16O_12C</v>
      </c>
      <c r="H369" s="45" t="s">
        <v>94</v>
      </c>
      <c r="I369" s="10">
        <v>62.0</v>
      </c>
      <c r="J369" s="11" t="s">
        <v>99</v>
      </c>
      <c r="K369" s="12" t="str">
        <f>IFERROR(__xludf.DUMMYFUNCTION("TEXTJOIN("""",TRUE, REGEXEXTRACT(J369, ""\d+""),""-"",LEFT(C369,3),""-"",LEFT(D369),""-"",LEFT(E369,2),LEFT(F369,2), ""-R"",REGEXEXTRACT(H369, ""\d+"") )"),"62-Rhi-E-1612-R4")</f>
        <v>62-Rhi-E-1612-R4</v>
      </c>
      <c r="L369" s="8" t="s">
        <v>23</v>
      </c>
      <c r="M369" s="13">
        <v>2.0</v>
      </c>
      <c r="N369" s="14">
        <v>1.87</v>
      </c>
      <c r="O369" s="19">
        <f>SUM(N368:N373)</f>
        <v>11.37</v>
      </c>
      <c r="P369" s="20">
        <f t="shared" si="2"/>
        <v>7.24665392</v>
      </c>
    </row>
    <row r="370">
      <c r="A370" s="6"/>
      <c r="B370" s="21"/>
      <c r="C370" s="22" t="s">
        <v>16</v>
      </c>
      <c r="D370" s="35" t="s">
        <v>32</v>
      </c>
      <c r="E370" s="24" t="s">
        <v>18</v>
      </c>
      <c r="F370" s="24" t="s">
        <v>28</v>
      </c>
      <c r="G370" s="26" t="str">
        <f t="shared" si="1"/>
        <v>16O_12C</v>
      </c>
      <c r="H370" s="45" t="s">
        <v>94</v>
      </c>
      <c r="I370" s="10">
        <v>62.0</v>
      </c>
      <c r="J370" s="11" t="s">
        <v>99</v>
      </c>
      <c r="K370" s="12" t="str">
        <f>IFERROR(__xludf.DUMMYFUNCTION("TEXTJOIN("""",TRUE, REGEXEXTRACT(J370, ""\d+""),""-"",LEFT(C370,3),""-"",LEFT(D370),""-"",LEFT(E370,2),LEFT(F370,2), ""-R"",REGEXEXTRACT(H370, ""\d+"") )"),"62-Rhi-E-1612-R4")</f>
        <v>62-Rhi-E-1612-R4</v>
      </c>
      <c r="L370" s="8" t="s">
        <v>24</v>
      </c>
      <c r="M370" s="13">
        <v>3.0</v>
      </c>
      <c r="N370" s="14">
        <v>1.97</v>
      </c>
      <c r="O370" s="15">
        <f>SUM(N368:N373)</f>
        <v>11.37</v>
      </c>
      <c r="P370" s="16">
        <f t="shared" si="2"/>
        <v>7.24665392</v>
      </c>
    </row>
    <row r="371">
      <c r="A371" s="17"/>
      <c r="B371" s="18"/>
      <c r="C371" s="22" t="s">
        <v>16</v>
      </c>
      <c r="D371" s="35" t="s">
        <v>32</v>
      </c>
      <c r="E371" s="24" t="s">
        <v>18</v>
      </c>
      <c r="F371" s="24" t="s">
        <v>28</v>
      </c>
      <c r="G371" s="26" t="str">
        <f t="shared" si="1"/>
        <v>16O_12C</v>
      </c>
      <c r="H371" s="45" t="s">
        <v>94</v>
      </c>
      <c r="I371" s="10">
        <v>62.0</v>
      </c>
      <c r="J371" s="11" t="s">
        <v>99</v>
      </c>
      <c r="K371" s="12" t="str">
        <f>IFERROR(__xludf.DUMMYFUNCTION("TEXTJOIN("""",TRUE, REGEXEXTRACT(J371, ""\d+""),""-"",LEFT(C371,3),""-"",LEFT(D371),""-"",LEFT(E371,2),LEFT(F371,2), ""-R"",REGEXEXTRACT(H371, ""\d+"") )"),"62-Rhi-E-1612-R4")</f>
        <v>62-Rhi-E-1612-R4</v>
      </c>
      <c r="L371" s="8" t="s">
        <v>25</v>
      </c>
      <c r="M371" s="13">
        <v>4.0</v>
      </c>
      <c r="N371" s="14">
        <v>2.0</v>
      </c>
      <c r="O371" s="19">
        <f>SUM(N368:N373)</f>
        <v>11.37</v>
      </c>
      <c r="P371" s="20">
        <f t="shared" si="2"/>
        <v>7.24665392</v>
      </c>
    </row>
    <row r="372">
      <c r="A372" s="6"/>
      <c r="B372" s="21"/>
      <c r="C372" s="22" t="s">
        <v>16</v>
      </c>
      <c r="D372" s="35" t="s">
        <v>32</v>
      </c>
      <c r="E372" s="24" t="s">
        <v>18</v>
      </c>
      <c r="F372" s="24" t="s">
        <v>28</v>
      </c>
      <c r="G372" s="26" t="str">
        <f t="shared" si="1"/>
        <v>16O_12C</v>
      </c>
      <c r="H372" s="45" t="s">
        <v>94</v>
      </c>
      <c r="I372" s="10">
        <v>62.0</v>
      </c>
      <c r="J372" s="11" t="s">
        <v>99</v>
      </c>
      <c r="K372" s="12" t="str">
        <f>IFERROR(__xludf.DUMMYFUNCTION("TEXTJOIN("""",TRUE, REGEXEXTRACT(J372, ""\d+""),""-"",LEFT(C372,3),""-"",LEFT(D372),""-"",LEFT(E372,2),LEFT(F372,2), ""-R"",REGEXEXTRACT(H372, ""\d+"") )"),"62-Rhi-E-1612-R4")</f>
        <v>62-Rhi-E-1612-R4</v>
      </c>
      <c r="L372" s="8" t="s">
        <v>26</v>
      </c>
      <c r="M372" s="13">
        <v>5.0</v>
      </c>
      <c r="N372" s="14">
        <v>1.8</v>
      </c>
      <c r="O372" s="15">
        <f>SUM(N368:N373)</f>
        <v>11.37</v>
      </c>
      <c r="P372" s="16">
        <f t="shared" si="2"/>
        <v>7.24665392</v>
      </c>
    </row>
    <row r="373">
      <c r="A373" s="17"/>
      <c r="B373" s="18"/>
      <c r="C373" s="22" t="s">
        <v>16</v>
      </c>
      <c r="D373" s="35" t="s">
        <v>32</v>
      </c>
      <c r="E373" s="24" t="s">
        <v>18</v>
      </c>
      <c r="F373" s="24" t="s">
        <v>28</v>
      </c>
      <c r="G373" s="26" t="str">
        <f t="shared" si="1"/>
        <v>16O_12C</v>
      </c>
      <c r="H373" s="45" t="s">
        <v>94</v>
      </c>
      <c r="I373" s="10">
        <v>62.0</v>
      </c>
      <c r="J373" s="11" t="s">
        <v>99</v>
      </c>
      <c r="K373" s="12" t="str">
        <f>IFERROR(__xludf.DUMMYFUNCTION("TEXTJOIN("""",TRUE, REGEXEXTRACT(J373, ""\d+""),""-"",LEFT(C373,3),""-"",LEFT(D373),""-"",LEFT(E373,2),LEFT(F373,2), ""-R"",REGEXEXTRACT(H373, ""\d+"") )"),"62-Rhi-E-1612-R4")</f>
        <v>62-Rhi-E-1612-R4</v>
      </c>
      <c r="L373" s="8" t="s">
        <v>27</v>
      </c>
      <c r="M373" s="13">
        <v>6.0</v>
      </c>
      <c r="N373" s="14">
        <f>3.68-1.8</f>
        <v>1.88</v>
      </c>
      <c r="O373" s="19">
        <f>SUM(N368:N373)</f>
        <v>11.37</v>
      </c>
      <c r="P373" s="20">
        <f t="shared" si="2"/>
        <v>7.24665392</v>
      </c>
    </row>
    <row r="374">
      <c r="A374" s="6"/>
      <c r="B374" s="21"/>
      <c r="C374" s="22" t="s">
        <v>16</v>
      </c>
      <c r="D374" s="32" t="s">
        <v>32</v>
      </c>
      <c r="E374" s="33" t="s">
        <v>30</v>
      </c>
      <c r="F374" s="29" t="s">
        <v>28</v>
      </c>
      <c r="G374" s="30" t="str">
        <f t="shared" si="1"/>
        <v>18O_12C</v>
      </c>
      <c r="H374" s="45" t="s">
        <v>94</v>
      </c>
      <c r="I374" s="10">
        <v>63.0</v>
      </c>
      <c r="J374" s="11" t="s">
        <v>100</v>
      </c>
      <c r="K374" s="12" t="str">
        <f>IFERROR(__xludf.DUMMYFUNCTION("TEXTJOIN("""",TRUE, REGEXEXTRACT(J374, ""\d+""),""-"",LEFT(C374,3),""-"",LEFT(D374),""-"",LEFT(E374,2),LEFT(F374,2), ""-R"",REGEXEXTRACT(H374, ""\d+"") )"),"63-Rhi-E-1812-R4")</f>
        <v>63-Rhi-E-1812-R4</v>
      </c>
      <c r="L374" s="8" t="s">
        <v>22</v>
      </c>
      <c r="M374" s="13">
        <v>1.0</v>
      </c>
      <c r="N374" s="14">
        <v>1.9</v>
      </c>
      <c r="O374" s="15">
        <f>SUM(N374:N379)</f>
        <v>11.34</v>
      </c>
      <c r="P374" s="16">
        <f t="shared" si="2"/>
        <v>7.227533461</v>
      </c>
    </row>
    <row r="375">
      <c r="A375" s="17"/>
      <c r="B375" s="18"/>
      <c r="C375" s="22" t="s">
        <v>16</v>
      </c>
      <c r="D375" s="32" t="s">
        <v>32</v>
      </c>
      <c r="E375" s="33" t="s">
        <v>30</v>
      </c>
      <c r="F375" s="29" t="s">
        <v>28</v>
      </c>
      <c r="G375" s="30" t="str">
        <f t="shared" si="1"/>
        <v>18O_12C</v>
      </c>
      <c r="H375" s="45" t="s">
        <v>94</v>
      </c>
      <c r="I375" s="10">
        <v>63.0</v>
      </c>
      <c r="J375" s="11" t="s">
        <v>100</v>
      </c>
      <c r="K375" s="12" t="str">
        <f>IFERROR(__xludf.DUMMYFUNCTION("TEXTJOIN("""",TRUE, REGEXEXTRACT(J375, ""\d+""),""-"",LEFT(C375,3),""-"",LEFT(D375),""-"",LEFT(E375,2),LEFT(F375,2), ""-R"",REGEXEXTRACT(H375, ""\d+"") )"),"63-Rhi-E-1812-R4")</f>
        <v>63-Rhi-E-1812-R4</v>
      </c>
      <c r="L375" s="8" t="s">
        <v>23</v>
      </c>
      <c r="M375" s="13">
        <v>2.0</v>
      </c>
      <c r="N375" s="14">
        <f>3.74-1.9</f>
        <v>1.84</v>
      </c>
      <c r="O375" s="19">
        <f>SUM(N374:N379)</f>
        <v>11.34</v>
      </c>
      <c r="P375" s="20">
        <f t="shared" si="2"/>
        <v>7.227533461</v>
      </c>
    </row>
    <row r="376">
      <c r="A376" s="6"/>
      <c r="B376" s="21"/>
      <c r="C376" s="22" t="s">
        <v>16</v>
      </c>
      <c r="D376" s="32" t="s">
        <v>32</v>
      </c>
      <c r="E376" s="33" t="s">
        <v>30</v>
      </c>
      <c r="F376" s="29" t="s">
        <v>28</v>
      </c>
      <c r="G376" s="30" t="str">
        <f t="shared" si="1"/>
        <v>18O_12C</v>
      </c>
      <c r="H376" s="45" t="s">
        <v>94</v>
      </c>
      <c r="I376" s="10">
        <v>63.0</v>
      </c>
      <c r="J376" s="11" t="s">
        <v>100</v>
      </c>
      <c r="K376" s="12" t="str">
        <f>IFERROR(__xludf.DUMMYFUNCTION("TEXTJOIN("""",TRUE, REGEXEXTRACT(J376, ""\d+""),""-"",LEFT(C376,3),""-"",LEFT(D376),""-"",LEFT(E376,2),LEFT(F376,2), ""-R"",REGEXEXTRACT(H376, ""\d+"") )"),"63-Rhi-E-1812-R4")</f>
        <v>63-Rhi-E-1812-R4</v>
      </c>
      <c r="L376" s="8" t="s">
        <v>24</v>
      </c>
      <c r="M376" s="13">
        <v>3.0</v>
      </c>
      <c r="N376" s="14">
        <v>1.9</v>
      </c>
      <c r="O376" s="15">
        <f>SUM(N374:N379)</f>
        <v>11.34</v>
      </c>
      <c r="P376" s="16">
        <f t="shared" si="2"/>
        <v>7.227533461</v>
      </c>
    </row>
    <row r="377">
      <c r="A377" s="17"/>
      <c r="B377" s="18"/>
      <c r="C377" s="22" t="s">
        <v>16</v>
      </c>
      <c r="D377" s="32" t="s">
        <v>32</v>
      </c>
      <c r="E377" s="33" t="s">
        <v>30</v>
      </c>
      <c r="F377" s="29" t="s">
        <v>28</v>
      </c>
      <c r="G377" s="30" t="str">
        <f t="shared" si="1"/>
        <v>18O_12C</v>
      </c>
      <c r="H377" s="45" t="s">
        <v>94</v>
      </c>
      <c r="I377" s="10">
        <v>63.0</v>
      </c>
      <c r="J377" s="11" t="s">
        <v>100</v>
      </c>
      <c r="K377" s="12" t="str">
        <f>IFERROR(__xludf.DUMMYFUNCTION("TEXTJOIN("""",TRUE, REGEXEXTRACT(J377, ""\d+""),""-"",LEFT(C377,3),""-"",LEFT(D377),""-"",LEFT(E377,2),LEFT(F377,2), ""-R"",REGEXEXTRACT(H377, ""\d+"") )"),"63-Rhi-E-1812-R4")</f>
        <v>63-Rhi-E-1812-R4</v>
      </c>
      <c r="L377" s="8" t="s">
        <v>25</v>
      </c>
      <c r="M377" s="13">
        <v>4.0</v>
      </c>
      <c r="N377" s="14">
        <v>1.94</v>
      </c>
      <c r="O377" s="19">
        <f>SUM(N374:N379)</f>
        <v>11.34</v>
      </c>
      <c r="P377" s="20">
        <f t="shared" si="2"/>
        <v>7.227533461</v>
      </c>
    </row>
    <row r="378">
      <c r="A378" s="6"/>
      <c r="B378" s="21"/>
      <c r="C378" s="22" t="s">
        <v>16</v>
      </c>
      <c r="D378" s="32" t="s">
        <v>32</v>
      </c>
      <c r="E378" s="33" t="s">
        <v>30</v>
      </c>
      <c r="F378" s="29" t="s">
        <v>28</v>
      </c>
      <c r="G378" s="30" t="str">
        <f t="shared" si="1"/>
        <v>18O_12C</v>
      </c>
      <c r="H378" s="45" t="s">
        <v>94</v>
      </c>
      <c r="I378" s="10">
        <v>63.0</v>
      </c>
      <c r="J378" s="11" t="s">
        <v>100</v>
      </c>
      <c r="K378" s="12" t="str">
        <f>IFERROR(__xludf.DUMMYFUNCTION("TEXTJOIN("""",TRUE, REGEXEXTRACT(J378, ""\d+""),""-"",LEFT(C378,3),""-"",LEFT(D378),""-"",LEFT(E378,2),LEFT(F378,2), ""-R"",REGEXEXTRACT(H378, ""\d+"") )"),"63-Rhi-E-1812-R4")</f>
        <v>63-Rhi-E-1812-R4</v>
      </c>
      <c r="L378" s="8" t="s">
        <v>26</v>
      </c>
      <c r="M378" s="13">
        <v>5.0</v>
      </c>
      <c r="N378" s="14">
        <v>1.91</v>
      </c>
      <c r="O378" s="15">
        <f>SUM(N374:N379)</f>
        <v>11.34</v>
      </c>
      <c r="P378" s="16">
        <f t="shared" si="2"/>
        <v>7.227533461</v>
      </c>
    </row>
    <row r="379">
      <c r="A379" s="17"/>
      <c r="B379" s="18"/>
      <c r="C379" s="22" t="s">
        <v>16</v>
      </c>
      <c r="D379" s="32" t="s">
        <v>32</v>
      </c>
      <c r="E379" s="33" t="s">
        <v>30</v>
      </c>
      <c r="F379" s="29" t="s">
        <v>28</v>
      </c>
      <c r="G379" s="30" t="str">
        <f t="shared" si="1"/>
        <v>18O_12C</v>
      </c>
      <c r="H379" s="45" t="s">
        <v>94</v>
      </c>
      <c r="I379" s="10">
        <v>63.0</v>
      </c>
      <c r="J379" s="11" t="s">
        <v>100</v>
      </c>
      <c r="K379" s="12" t="str">
        <f>IFERROR(__xludf.DUMMYFUNCTION("TEXTJOIN("""",TRUE, REGEXEXTRACT(J379, ""\d+""),""-"",LEFT(C379,3),""-"",LEFT(D379),""-"",LEFT(E379,2),LEFT(F379,2), ""-R"",REGEXEXTRACT(H379, ""\d+"") )"),"63-Rhi-E-1812-R4")</f>
        <v>63-Rhi-E-1812-R4</v>
      </c>
      <c r="L379" s="8" t="s">
        <v>27</v>
      </c>
      <c r="M379" s="13">
        <v>6.0</v>
      </c>
      <c r="N379" s="14">
        <v>1.85</v>
      </c>
      <c r="O379" s="19">
        <f>SUM(N374:N379)</f>
        <v>11.34</v>
      </c>
      <c r="P379" s="20">
        <f t="shared" si="2"/>
        <v>7.227533461</v>
      </c>
    </row>
    <row r="380">
      <c r="A380" s="6"/>
      <c r="B380" s="21"/>
      <c r="C380" s="22" t="s">
        <v>16</v>
      </c>
      <c r="D380" s="36" t="s">
        <v>36</v>
      </c>
      <c r="E380" s="24" t="s">
        <v>18</v>
      </c>
      <c r="F380" s="37" t="s">
        <v>37</v>
      </c>
      <c r="G380" s="26" t="str">
        <f t="shared" si="1"/>
        <v>16O_No C</v>
      </c>
      <c r="H380" s="45" t="s">
        <v>94</v>
      </c>
      <c r="I380" s="10">
        <v>64.0</v>
      </c>
      <c r="J380" s="11" t="s">
        <v>101</v>
      </c>
      <c r="K380" s="12" t="str">
        <f>IFERROR(__xludf.DUMMYFUNCTION("TEXTJOIN("""",TRUE, REGEXEXTRACT(J380, ""\d+""),""-"",LEFT(C380,3),""-"",LEFT(D380),""-"",LEFT(E380,2),LEFT(F380,2), ""-R"",REGEXEXTRACT(H380, ""\d+"") )"),"64-Rhi-N-16No-R4")</f>
        <v>64-Rhi-N-16No-R4</v>
      </c>
      <c r="L380" s="8" t="s">
        <v>22</v>
      </c>
      <c r="M380" s="13">
        <v>1.0</v>
      </c>
      <c r="N380" s="14">
        <v>1.94</v>
      </c>
      <c r="O380" s="15">
        <f>SUM(N380:N385)</f>
        <v>11.49</v>
      </c>
      <c r="P380" s="16">
        <f t="shared" si="2"/>
        <v>7.323135755</v>
      </c>
    </row>
    <row r="381">
      <c r="A381" s="17"/>
      <c r="B381" s="18"/>
      <c r="C381" s="22" t="s">
        <v>16</v>
      </c>
      <c r="D381" s="36" t="s">
        <v>36</v>
      </c>
      <c r="E381" s="24" t="s">
        <v>18</v>
      </c>
      <c r="F381" s="37" t="s">
        <v>37</v>
      </c>
      <c r="G381" s="26" t="str">
        <f t="shared" si="1"/>
        <v>16O_No C</v>
      </c>
      <c r="H381" s="45" t="s">
        <v>94</v>
      </c>
      <c r="I381" s="10">
        <v>64.0</v>
      </c>
      <c r="J381" s="11" t="s">
        <v>101</v>
      </c>
      <c r="K381" s="12" t="str">
        <f>IFERROR(__xludf.DUMMYFUNCTION("TEXTJOIN("""",TRUE, REGEXEXTRACT(J381, ""\d+""),""-"",LEFT(C381,3),""-"",LEFT(D381),""-"",LEFT(E381,2),LEFT(F381,2), ""-R"",REGEXEXTRACT(H381, ""\d+"") )"),"64-Rhi-N-16No-R4")</f>
        <v>64-Rhi-N-16No-R4</v>
      </c>
      <c r="L381" s="8" t="s">
        <v>23</v>
      </c>
      <c r="M381" s="13">
        <v>2.0</v>
      </c>
      <c r="N381" s="14">
        <v>1.91</v>
      </c>
      <c r="O381" s="19">
        <f>SUM(N380:N385)</f>
        <v>11.49</v>
      </c>
      <c r="P381" s="20">
        <f t="shared" si="2"/>
        <v>7.323135755</v>
      </c>
    </row>
    <row r="382">
      <c r="A382" s="6"/>
      <c r="B382" s="21"/>
      <c r="C382" s="22" t="s">
        <v>16</v>
      </c>
      <c r="D382" s="36" t="s">
        <v>36</v>
      </c>
      <c r="E382" s="24" t="s">
        <v>18</v>
      </c>
      <c r="F382" s="37" t="s">
        <v>37</v>
      </c>
      <c r="G382" s="26" t="str">
        <f t="shared" si="1"/>
        <v>16O_No C</v>
      </c>
      <c r="H382" s="45" t="s">
        <v>94</v>
      </c>
      <c r="I382" s="10">
        <v>64.0</v>
      </c>
      <c r="J382" s="11" t="s">
        <v>101</v>
      </c>
      <c r="K382" s="12" t="str">
        <f>IFERROR(__xludf.DUMMYFUNCTION("TEXTJOIN("""",TRUE, REGEXEXTRACT(J382, ""\d+""),""-"",LEFT(C382,3),""-"",LEFT(D382),""-"",LEFT(E382,2),LEFT(F382,2), ""-R"",REGEXEXTRACT(H382, ""\d+"") )"),"64-Rhi-N-16No-R4")</f>
        <v>64-Rhi-N-16No-R4</v>
      </c>
      <c r="L382" s="8" t="s">
        <v>24</v>
      </c>
      <c r="M382" s="13">
        <v>3.0</v>
      </c>
      <c r="N382" s="14">
        <v>1.93</v>
      </c>
      <c r="O382" s="15">
        <f>SUM(N380:N385)</f>
        <v>11.49</v>
      </c>
      <c r="P382" s="16">
        <f t="shared" si="2"/>
        <v>7.323135755</v>
      </c>
    </row>
    <row r="383">
      <c r="A383" s="17"/>
      <c r="B383" s="18"/>
      <c r="C383" s="22" t="s">
        <v>16</v>
      </c>
      <c r="D383" s="36" t="s">
        <v>36</v>
      </c>
      <c r="E383" s="24" t="s">
        <v>18</v>
      </c>
      <c r="F383" s="37" t="s">
        <v>37</v>
      </c>
      <c r="G383" s="26" t="str">
        <f t="shared" si="1"/>
        <v>16O_No C</v>
      </c>
      <c r="H383" s="45" t="s">
        <v>94</v>
      </c>
      <c r="I383" s="10">
        <v>64.0</v>
      </c>
      <c r="J383" s="11" t="s">
        <v>101</v>
      </c>
      <c r="K383" s="12" t="str">
        <f>IFERROR(__xludf.DUMMYFUNCTION("TEXTJOIN("""",TRUE, REGEXEXTRACT(J383, ""\d+""),""-"",LEFT(C383,3),""-"",LEFT(D383),""-"",LEFT(E383,2),LEFT(F383,2), ""-R"",REGEXEXTRACT(H383, ""\d+"") )"),"64-Rhi-N-16No-R4")</f>
        <v>64-Rhi-N-16No-R4</v>
      </c>
      <c r="L383" s="8" t="s">
        <v>25</v>
      </c>
      <c r="M383" s="13">
        <v>4.0</v>
      </c>
      <c r="N383" s="14">
        <v>1.89</v>
      </c>
      <c r="O383" s="19">
        <f>SUM(N380:N385)</f>
        <v>11.49</v>
      </c>
      <c r="P383" s="20">
        <f t="shared" si="2"/>
        <v>7.323135755</v>
      </c>
    </row>
    <row r="384">
      <c r="A384" s="6"/>
      <c r="B384" s="21"/>
      <c r="C384" s="22" t="s">
        <v>16</v>
      </c>
      <c r="D384" s="36" t="s">
        <v>36</v>
      </c>
      <c r="E384" s="24" t="s">
        <v>18</v>
      </c>
      <c r="F384" s="37" t="s">
        <v>37</v>
      </c>
      <c r="G384" s="26" t="str">
        <f t="shared" si="1"/>
        <v>16O_No C</v>
      </c>
      <c r="H384" s="45" t="s">
        <v>94</v>
      </c>
      <c r="I384" s="10">
        <v>64.0</v>
      </c>
      <c r="J384" s="11" t="s">
        <v>101</v>
      </c>
      <c r="K384" s="12" t="str">
        <f>IFERROR(__xludf.DUMMYFUNCTION("TEXTJOIN("""",TRUE, REGEXEXTRACT(J384, ""\d+""),""-"",LEFT(C384,3),""-"",LEFT(D384),""-"",LEFT(E384,2),LEFT(F384,2), ""-R"",REGEXEXTRACT(H384, ""\d+"") )"),"64-Rhi-N-16No-R4")</f>
        <v>64-Rhi-N-16No-R4</v>
      </c>
      <c r="L384" s="8" t="s">
        <v>26</v>
      </c>
      <c r="M384" s="13">
        <v>5.0</v>
      </c>
      <c r="N384" s="14">
        <f t="shared" ref="N384:N385" si="3">3.82/2</f>
        <v>1.91</v>
      </c>
      <c r="O384" s="15">
        <f>SUM(N380:N385)</f>
        <v>11.49</v>
      </c>
      <c r="P384" s="16">
        <f t="shared" si="2"/>
        <v>7.323135755</v>
      </c>
    </row>
    <row r="385">
      <c r="A385" s="17"/>
      <c r="B385" s="18"/>
      <c r="C385" s="22" t="s">
        <v>16</v>
      </c>
      <c r="D385" s="36" t="s">
        <v>36</v>
      </c>
      <c r="E385" s="24" t="s">
        <v>18</v>
      </c>
      <c r="F385" s="37" t="s">
        <v>37</v>
      </c>
      <c r="G385" s="26" t="str">
        <f t="shared" si="1"/>
        <v>16O_No C</v>
      </c>
      <c r="H385" s="45" t="s">
        <v>94</v>
      </c>
      <c r="I385" s="10">
        <v>64.0</v>
      </c>
      <c r="J385" s="11" t="s">
        <v>101</v>
      </c>
      <c r="K385" s="12" t="str">
        <f>IFERROR(__xludf.DUMMYFUNCTION("TEXTJOIN("""",TRUE, REGEXEXTRACT(J385, ""\d+""),""-"",LEFT(C385,3),""-"",LEFT(D385),""-"",LEFT(E385,2),LEFT(F385,2), ""-R"",REGEXEXTRACT(H385, ""\d+"") )"),"64-Rhi-N-16No-R4")</f>
        <v>64-Rhi-N-16No-R4</v>
      </c>
      <c r="L385" s="8" t="s">
        <v>27</v>
      </c>
      <c r="M385" s="13">
        <v>6.0</v>
      </c>
      <c r="N385" s="14">
        <f t="shared" si="3"/>
        <v>1.91</v>
      </c>
      <c r="O385" s="19">
        <f>SUM(N380:N385)</f>
        <v>11.49</v>
      </c>
      <c r="P385" s="20">
        <f t="shared" si="2"/>
        <v>7.323135755</v>
      </c>
    </row>
    <row r="386">
      <c r="A386" s="6"/>
      <c r="B386" s="21"/>
      <c r="C386" s="22" t="s">
        <v>16</v>
      </c>
      <c r="D386" s="38" t="s">
        <v>36</v>
      </c>
      <c r="E386" s="33" t="s">
        <v>30</v>
      </c>
      <c r="F386" s="39" t="s">
        <v>37</v>
      </c>
      <c r="G386" s="30" t="str">
        <f t="shared" si="1"/>
        <v>18O_No C</v>
      </c>
      <c r="H386" s="45" t="s">
        <v>94</v>
      </c>
      <c r="I386" s="10">
        <v>65.0</v>
      </c>
      <c r="J386" s="11" t="s">
        <v>102</v>
      </c>
      <c r="K386" s="12" t="str">
        <f>IFERROR(__xludf.DUMMYFUNCTION("TEXTJOIN("""",TRUE, REGEXEXTRACT(J386, ""\d+""),""-"",LEFT(C386,3),""-"",LEFT(D386),""-"",LEFT(E386,2),LEFT(F386,2), ""-R"",REGEXEXTRACT(H386, ""\d+"") )"),"65-Rhi-N-18No-R4")</f>
        <v>65-Rhi-N-18No-R4</v>
      </c>
      <c r="L386" s="8" t="s">
        <v>22</v>
      </c>
      <c r="M386" s="13">
        <v>1.0</v>
      </c>
      <c r="N386" s="14">
        <v>1.68</v>
      </c>
      <c r="O386" s="15">
        <f>SUM(N386:N391)</f>
        <v>11.01</v>
      </c>
      <c r="P386" s="16">
        <f t="shared" si="2"/>
        <v>7.017208413</v>
      </c>
    </row>
    <row r="387">
      <c r="A387" s="17"/>
      <c r="B387" s="18"/>
      <c r="C387" s="22" t="s">
        <v>16</v>
      </c>
      <c r="D387" s="38" t="s">
        <v>36</v>
      </c>
      <c r="E387" s="33" t="s">
        <v>30</v>
      </c>
      <c r="F387" s="39" t="s">
        <v>37</v>
      </c>
      <c r="G387" s="30" t="str">
        <f t="shared" si="1"/>
        <v>18O_No C</v>
      </c>
      <c r="H387" s="45" t="s">
        <v>94</v>
      </c>
      <c r="I387" s="10">
        <v>65.0</v>
      </c>
      <c r="J387" s="11" t="s">
        <v>102</v>
      </c>
      <c r="K387" s="12" t="str">
        <f>IFERROR(__xludf.DUMMYFUNCTION("TEXTJOIN("""",TRUE, REGEXEXTRACT(J387, ""\d+""),""-"",LEFT(C387,3),""-"",LEFT(D387),""-"",LEFT(E387,2),LEFT(F387,2), ""-R"",REGEXEXTRACT(H387, ""\d+"") )"),"65-Rhi-N-18No-R4")</f>
        <v>65-Rhi-N-18No-R4</v>
      </c>
      <c r="L387" s="8" t="s">
        <v>23</v>
      </c>
      <c r="M387" s="13">
        <v>2.0</v>
      </c>
      <c r="N387" s="14">
        <v>1.81</v>
      </c>
      <c r="O387" s="19">
        <f>SUM(N386:N391)</f>
        <v>11.01</v>
      </c>
      <c r="P387" s="20">
        <f t="shared" si="2"/>
        <v>7.017208413</v>
      </c>
    </row>
    <row r="388">
      <c r="A388" s="6"/>
      <c r="B388" s="21"/>
      <c r="C388" s="22" t="s">
        <v>16</v>
      </c>
      <c r="D388" s="38" t="s">
        <v>36</v>
      </c>
      <c r="E388" s="33" t="s">
        <v>30</v>
      </c>
      <c r="F388" s="39" t="s">
        <v>37</v>
      </c>
      <c r="G388" s="30" t="str">
        <f t="shared" si="1"/>
        <v>18O_No C</v>
      </c>
      <c r="H388" s="45" t="s">
        <v>94</v>
      </c>
      <c r="I388" s="10">
        <v>65.0</v>
      </c>
      <c r="J388" s="11" t="s">
        <v>102</v>
      </c>
      <c r="K388" s="12" t="str">
        <f>IFERROR(__xludf.DUMMYFUNCTION("TEXTJOIN("""",TRUE, REGEXEXTRACT(J388, ""\d+""),""-"",LEFT(C388,3),""-"",LEFT(D388),""-"",LEFT(E388,2),LEFT(F388,2), ""-R"",REGEXEXTRACT(H388, ""\d+"") )"),"65-Rhi-N-18No-R4")</f>
        <v>65-Rhi-N-18No-R4</v>
      </c>
      <c r="L388" s="8" t="s">
        <v>24</v>
      </c>
      <c r="M388" s="13">
        <v>3.0</v>
      </c>
      <c r="N388" s="14">
        <v>1.92</v>
      </c>
      <c r="O388" s="15">
        <f>SUM(N386:N391)</f>
        <v>11.01</v>
      </c>
      <c r="P388" s="16">
        <f t="shared" si="2"/>
        <v>7.017208413</v>
      </c>
    </row>
    <row r="389">
      <c r="A389" s="17"/>
      <c r="B389" s="18"/>
      <c r="C389" s="22" t="s">
        <v>16</v>
      </c>
      <c r="D389" s="38" t="s">
        <v>36</v>
      </c>
      <c r="E389" s="33" t="s">
        <v>30</v>
      </c>
      <c r="F389" s="39" t="s">
        <v>37</v>
      </c>
      <c r="G389" s="30" t="str">
        <f t="shared" si="1"/>
        <v>18O_No C</v>
      </c>
      <c r="H389" s="45" t="s">
        <v>94</v>
      </c>
      <c r="I389" s="10">
        <v>65.0</v>
      </c>
      <c r="J389" s="11" t="s">
        <v>102</v>
      </c>
      <c r="K389" s="12" t="str">
        <f>IFERROR(__xludf.DUMMYFUNCTION("TEXTJOIN("""",TRUE, REGEXEXTRACT(J389, ""\d+""),""-"",LEFT(C389,3),""-"",LEFT(D389),""-"",LEFT(E389,2),LEFT(F389,2), ""-R"",REGEXEXTRACT(H389, ""\d+"") )"),"65-Rhi-N-18No-R4")</f>
        <v>65-Rhi-N-18No-R4</v>
      </c>
      <c r="L389" s="8" t="s">
        <v>25</v>
      </c>
      <c r="M389" s="13">
        <v>4.0</v>
      </c>
      <c r="N389" s="14">
        <v>1.88</v>
      </c>
      <c r="O389" s="19">
        <f>SUM(N386:N391)</f>
        <v>11.01</v>
      </c>
      <c r="P389" s="20">
        <f t="shared" si="2"/>
        <v>7.017208413</v>
      </c>
    </row>
    <row r="390">
      <c r="A390" s="6"/>
      <c r="B390" s="21"/>
      <c r="C390" s="22" t="s">
        <v>16</v>
      </c>
      <c r="D390" s="38" t="s">
        <v>36</v>
      </c>
      <c r="E390" s="33" t="s">
        <v>30</v>
      </c>
      <c r="F390" s="39" t="s">
        <v>37</v>
      </c>
      <c r="G390" s="30" t="str">
        <f t="shared" si="1"/>
        <v>18O_No C</v>
      </c>
      <c r="H390" s="45" t="s">
        <v>94</v>
      </c>
      <c r="I390" s="10">
        <v>65.0</v>
      </c>
      <c r="J390" s="11" t="s">
        <v>102</v>
      </c>
      <c r="K390" s="12" t="str">
        <f>IFERROR(__xludf.DUMMYFUNCTION("TEXTJOIN("""",TRUE, REGEXEXTRACT(J390, ""\d+""),""-"",LEFT(C390,3),""-"",LEFT(D390),""-"",LEFT(E390,2),LEFT(F390,2), ""-R"",REGEXEXTRACT(H390, ""\d+"") )"),"65-Rhi-N-18No-R4")</f>
        <v>65-Rhi-N-18No-R4</v>
      </c>
      <c r="L390" s="8" t="s">
        <v>26</v>
      </c>
      <c r="M390" s="13">
        <v>5.0</v>
      </c>
      <c r="N390" s="14">
        <v>1.88</v>
      </c>
      <c r="O390" s="15">
        <f>SUM(N386:N391)</f>
        <v>11.01</v>
      </c>
      <c r="P390" s="16">
        <f t="shared" si="2"/>
        <v>7.017208413</v>
      </c>
    </row>
    <row r="391">
      <c r="A391" s="17"/>
      <c r="B391" s="18"/>
      <c r="C391" s="22" t="s">
        <v>16</v>
      </c>
      <c r="D391" s="38" t="s">
        <v>36</v>
      </c>
      <c r="E391" s="33" t="s">
        <v>30</v>
      </c>
      <c r="F391" s="39" t="s">
        <v>37</v>
      </c>
      <c r="G391" s="30" t="str">
        <f t="shared" si="1"/>
        <v>18O_No C</v>
      </c>
      <c r="H391" s="45" t="s">
        <v>94</v>
      </c>
      <c r="I391" s="10">
        <v>65.0</v>
      </c>
      <c r="J391" s="11" t="s">
        <v>102</v>
      </c>
      <c r="K391" s="12" t="str">
        <f>IFERROR(__xludf.DUMMYFUNCTION("TEXTJOIN("""",TRUE, REGEXEXTRACT(J391, ""\d+""),""-"",LEFT(C391,3),""-"",LEFT(D391),""-"",LEFT(E391,2),LEFT(F391,2), ""-R"",REGEXEXTRACT(H391, ""\d+"") )"),"65-Rhi-N-18No-R4")</f>
        <v>65-Rhi-N-18No-R4</v>
      </c>
      <c r="L391" s="8" t="s">
        <v>27</v>
      </c>
      <c r="M391" s="13">
        <v>6.0</v>
      </c>
      <c r="N391" s="14">
        <v>1.84</v>
      </c>
      <c r="O391" s="19">
        <f>SUM(N386:N391)</f>
        <v>11.01</v>
      </c>
      <c r="P391" s="20">
        <f t="shared" si="2"/>
        <v>7.017208413</v>
      </c>
    </row>
    <row r="392">
      <c r="A392" s="6"/>
      <c r="B392" s="21"/>
      <c r="C392" s="47" t="s">
        <v>40</v>
      </c>
      <c r="D392" s="23" t="s">
        <v>17</v>
      </c>
      <c r="E392" s="24" t="s">
        <v>18</v>
      </c>
      <c r="F392" s="25" t="s">
        <v>19</v>
      </c>
      <c r="G392" s="26" t="str">
        <f t="shared" si="1"/>
        <v>16O_13C</v>
      </c>
      <c r="H392" s="45" t="s">
        <v>94</v>
      </c>
      <c r="I392" s="10">
        <v>66.0</v>
      </c>
      <c r="J392" s="11" t="s">
        <v>103</v>
      </c>
      <c r="K392" s="12" t="str">
        <f>IFERROR(__xludf.DUMMYFUNCTION("TEXTJOIN("""",TRUE, REGEXEXTRACT(J392, ""\d+""),""-"",LEFT(C392,3),""-"",LEFT(D392),""-"",LEFT(E392,2),LEFT(F392,2), ""-R"",REGEXEXTRACT(H392, ""\d+"") )"),"66-Act-L-1613-R4")</f>
        <v>66-Act-L-1613-R4</v>
      </c>
      <c r="L392" s="8" t="s">
        <v>22</v>
      </c>
      <c r="M392" s="13">
        <v>1.0</v>
      </c>
      <c r="N392" s="14">
        <v>1.24</v>
      </c>
      <c r="O392" s="15">
        <f>SUM(N392:N397)</f>
        <v>7.26</v>
      </c>
      <c r="P392" s="16">
        <f t="shared" si="2"/>
        <v>4.627151052</v>
      </c>
    </row>
    <row r="393">
      <c r="A393" s="17"/>
      <c r="B393" s="18"/>
      <c r="C393" s="47" t="s">
        <v>40</v>
      </c>
      <c r="D393" s="23" t="s">
        <v>17</v>
      </c>
      <c r="E393" s="24" t="s">
        <v>18</v>
      </c>
      <c r="F393" s="25" t="s">
        <v>19</v>
      </c>
      <c r="G393" s="26" t="str">
        <f t="shared" si="1"/>
        <v>16O_13C</v>
      </c>
      <c r="H393" s="45" t="s">
        <v>94</v>
      </c>
      <c r="I393" s="10">
        <v>66.0</v>
      </c>
      <c r="J393" s="11" t="s">
        <v>103</v>
      </c>
      <c r="K393" s="12" t="str">
        <f>IFERROR(__xludf.DUMMYFUNCTION("TEXTJOIN("""",TRUE, REGEXEXTRACT(J393, ""\d+""),""-"",LEFT(C393,3),""-"",LEFT(D393),""-"",LEFT(E393,2),LEFT(F393,2), ""-R"",REGEXEXTRACT(H393, ""\d+"") )"),"66-Act-L-1613-R4")</f>
        <v>66-Act-L-1613-R4</v>
      </c>
      <c r="L393" s="8" t="s">
        <v>23</v>
      </c>
      <c r="M393" s="13">
        <v>2.0</v>
      </c>
      <c r="N393" s="14">
        <v>1.17</v>
      </c>
      <c r="O393" s="19">
        <f>SUM(N392:N397)</f>
        <v>7.26</v>
      </c>
      <c r="P393" s="20">
        <f t="shared" si="2"/>
        <v>4.627151052</v>
      </c>
    </row>
    <row r="394">
      <c r="A394" s="6"/>
      <c r="B394" s="21"/>
      <c r="C394" s="47" t="s">
        <v>40</v>
      </c>
      <c r="D394" s="23" t="s">
        <v>17</v>
      </c>
      <c r="E394" s="24" t="s">
        <v>18</v>
      </c>
      <c r="F394" s="25" t="s">
        <v>19</v>
      </c>
      <c r="G394" s="26" t="str">
        <f t="shared" si="1"/>
        <v>16O_13C</v>
      </c>
      <c r="H394" s="45" t="s">
        <v>94</v>
      </c>
      <c r="I394" s="10">
        <v>66.0</v>
      </c>
      <c r="J394" s="11" t="s">
        <v>103</v>
      </c>
      <c r="K394" s="12" t="str">
        <f>IFERROR(__xludf.DUMMYFUNCTION("TEXTJOIN("""",TRUE, REGEXEXTRACT(J394, ""\d+""),""-"",LEFT(C394,3),""-"",LEFT(D394),""-"",LEFT(E394,2),LEFT(F394,2), ""-R"",REGEXEXTRACT(H394, ""\d+"") )"),"66-Act-L-1613-R4")</f>
        <v>66-Act-L-1613-R4</v>
      </c>
      <c r="L394" s="8" t="s">
        <v>24</v>
      </c>
      <c r="M394" s="13">
        <v>3.0</v>
      </c>
      <c r="N394" s="14">
        <v>1.17</v>
      </c>
      <c r="O394" s="15">
        <f>SUM(N392:N397)</f>
        <v>7.26</v>
      </c>
      <c r="P394" s="16">
        <f t="shared" si="2"/>
        <v>4.627151052</v>
      </c>
    </row>
    <row r="395">
      <c r="A395" s="17"/>
      <c r="B395" s="18"/>
      <c r="C395" s="47" t="s">
        <v>40</v>
      </c>
      <c r="D395" s="23" t="s">
        <v>17</v>
      </c>
      <c r="E395" s="24" t="s">
        <v>18</v>
      </c>
      <c r="F395" s="25" t="s">
        <v>19</v>
      </c>
      <c r="G395" s="26" t="str">
        <f t="shared" si="1"/>
        <v>16O_13C</v>
      </c>
      <c r="H395" s="45" t="s">
        <v>94</v>
      </c>
      <c r="I395" s="10">
        <v>66.0</v>
      </c>
      <c r="J395" s="11" t="s">
        <v>103</v>
      </c>
      <c r="K395" s="12" t="str">
        <f>IFERROR(__xludf.DUMMYFUNCTION("TEXTJOIN("""",TRUE, REGEXEXTRACT(J395, ""\d+""),""-"",LEFT(C395,3),""-"",LEFT(D395),""-"",LEFT(E395,2),LEFT(F395,2), ""-R"",REGEXEXTRACT(H395, ""\d+"") )"),"66-Act-L-1613-R4")</f>
        <v>66-Act-L-1613-R4</v>
      </c>
      <c r="L395" s="8" t="s">
        <v>25</v>
      </c>
      <c r="M395" s="13">
        <v>4.0</v>
      </c>
      <c r="N395" s="14">
        <v>1.18</v>
      </c>
      <c r="O395" s="19">
        <f>SUM(N392:N397)</f>
        <v>7.26</v>
      </c>
      <c r="P395" s="20">
        <f t="shared" si="2"/>
        <v>4.627151052</v>
      </c>
    </row>
    <row r="396">
      <c r="A396" s="6"/>
      <c r="B396" s="21"/>
      <c r="C396" s="47" t="s">
        <v>40</v>
      </c>
      <c r="D396" s="23" t="s">
        <v>17</v>
      </c>
      <c r="E396" s="24" t="s">
        <v>18</v>
      </c>
      <c r="F396" s="25" t="s">
        <v>19</v>
      </c>
      <c r="G396" s="26" t="str">
        <f t="shared" si="1"/>
        <v>16O_13C</v>
      </c>
      <c r="H396" s="45" t="s">
        <v>94</v>
      </c>
      <c r="I396" s="10">
        <v>66.0</v>
      </c>
      <c r="J396" s="11" t="s">
        <v>103</v>
      </c>
      <c r="K396" s="12" t="str">
        <f>IFERROR(__xludf.DUMMYFUNCTION("TEXTJOIN("""",TRUE, REGEXEXTRACT(J396, ""\d+""),""-"",LEFT(C396,3),""-"",LEFT(D396),""-"",LEFT(E396,2),LEFT(F396,2), ""-R"",REGEXEXTRACT(H396, ""\d+"") )"),"66-Act-L-1613-R4")</f>
        <v>66-Act-L-1613-R4</v>
      </c>
      <c r="L396" s="8" t="s">
        <v>26</v>
      </c>
      <c r="M396" s="13">
        <v>5.0</v>
      </c>
      <c r="N396" s="14">
        <v>1.22</v>
      </c>
      <c r="O396" s="15">
        <f>SUM(N392:N397)</f>
        <v>7.26</v>
      </c>
      <c r="P396" s="16">
        <f t="shared" si="2"/>
        <v>4.627151052</v>
      </c>
    </row>
    <row r="397">
      <c r="A397" s="17"/>
      <c r="B397" s="18"/>
      <c r="C397" s="47" t="s">
        <v>40</v>
      </c>
      <c r="D397" s="23" t="s">
        <v>17</v>
      </c>
      <c r="E397" s="24" t="s">
        <v>18</v>
      </c>
      <c r="F397" s="25" t="s">
        <v>19</v>
      </c>
      <c r="G397" s="26" t="str">
        <f t="shared" si="1"/>
        <v>16O_13C</v>
      </c>
      <c r="H397" s="45" t="s">
        <v>94</v>
      </c>
      <c r="I397" s="10">
        <v>66.0</v>
      </c>
      <c r="J397" s="11" t="s">
        <v>103</v>
      </c>
      <c r="K397" s="12" t="str">
        <f>IFERROR(__xludf.DUMMYFUNCTION("TEXTJOIN("""",TRUE, REGEXEXTRACT(J397, ""\d+""),""-"",LEFT(C397,3),""-"",LEFT(D397),""-"",LEFT(E397,2),LEFT(F397,2), ""-R"",REGEXEXTRACT(H397, ""\d+"") )"),"66-Act-L-1613-R4")</f>
        <v>66-Act-L-1613-R4</v>
      </c>
      <c r="L397" s="8" t="s">
        <v>27</v>
      </c>
      <c r="M397" s="13">
        <v>6.0</v>
      </c>
      <c r="N397" s="14">
        <v>1.28</v>
      </c>
      <c r="O397" s="19">
        <f>SUM(N392:N397)</f>
        <v>7.26</v>
      </c>
      <c r="P397" s="20">
        <f t="shared" si="2"/>
        <v>4.627151052</v>
      </c>
    </row>
    <row r="398">
      <c r="A398" s="6"/>
      <c r="B398" s="21"/>
      <c r="C398" s="48" t="s">
        <v>40</v>
      </c>
      <c r="D398" s="28" t="s">
        <v>17</v>
      </c>
      <c r="E398" s="29" t="s">
        <v>18</v>
      </c>
      <c r="F398" s="29" t="s">
        <v>28</v>
      </c>
      <c r="G398" s="30" t="str">
        <f t="shared" si="1"/>
        <v>16O_12C</v>
      </c>
      <c r="H398" s="45" t="s">
        <v>94</v>
      </c>
      <c r="I398" s="10">
        <v>67.0</v>
      </c>
      <c r="J398" s="11" t="s">
        <v>104</v>
      </c>
      <c r="K398" s="12" t="str">
        <f>IFERROR(__xludf.DUMMYFUNCTION("TEXTJOIN("""",TRUE, REGEXEXTRACT(J398, ""\d+""),""-"",LEFT(C398,3),""-"",LEFT(D398),""-"",LEFT(E398,2),LEFT(F398,2), ""-R"",REGEXEXTRACT(H398, ""\d+"") )"),"67-Act-L-1612-R4")</f>
        <v>67-Act-L-1612-R4</v>
      </c>
      <c r="L398" s="8" t="s">
        <v>22</v>
      </c>
      <c r="M398" s="13">
        <v>1.0</v>
      </c>
      <c r="N398" s="14">
        <v>1.18</v>
      </c>
      <c r="O398" s="15">
        <f>SUM(N398:N403)</f>
        <v>7.14</v>
      </c>
      <c r="P398" s="16">
        <f t="shared" si="2"/>
        <v>4.550669216</v>
      </c>
    </row>
    <row r="399">
      <c r="A399" s="17"/>
      <c r="B399" s="18"/>
      <c r="C399" s="48" t="s">
        <v>40</v>
      </c>
      <c r="D399" s="28" t="s">
        <v>17</v>
      </c>
      <c r="E399" s="29" t="s">
        <v>18</v>
      </c>
      <c r="F399" s="29" t="s">
        <v>28</v>
      </c>
      <c r="G399" s="30" t="str">
        <f t="shared" si="1"/>
        <v>16O_12C</v>
      </c>
      <c r="H399" s="45" t="s">
        <v>94</v>
      </c>
      <c r="I399" s="10">
        <v>67.0</v>
      </c>
      <c r="J399" s="11" t="s">
        <v>104</v>
      </c>
      <c r="K399" s="12" t="str">
        <f>IFERROR(__xludf.DUMMYFUNCTION("TEXTJOIN("""",TRUE, REGEXEXTRACT(J399, ""\d+""),""-"",LEFT(C399,3),""-"",LEFT(D399),""-"",LEFT(E399,2),LEFT(F399,2), ""-R"",REGEXEXTRACT(H399, ""\d+"") )"),"67-Act-L-1612-R4")</f>
        <v>67-Act-L-1612-R4</v>
      </c>
      <c r="L399" s="8" t="s">
        <v>23</v>
      </c>
      <c r="M399" s="13">
        <v>2.0</v>
      </c>
      <c r="N399" s="14">
        <v>1.2</v>
      </c>
      <c r="O399" s="19">
        <f>SUM(N398:N403)</f>
        <v>7.14</v>
      </c>
      <c r="P399" s="20">
        <f t="shared" si="2"/>
        <v>4.550669216</v>
      </c>
    </row>
    <row r="400">
      <c r="A400" s="6"/>
      <c r="B400" s="21"/>
      <c r="C400" s="48" t="s">
        <v>40</v>
      </c>
      <c r="D400" s="28" t="s">
        <v>17</v>
      </c>
      <c r="E400" s="29" t="s">
        <v>18</v>
      </c>
      <c r="F400" s="29" t="s">
        <v>28</v>
      </c>
      <c r="G400" s="30" t="str">
        <f t="shared" si="1"/>
        <v>16O_12C</v>
      </c>
      <c r="H400" s="45" t="s">
        <v>94</v>
      </c>
      <c r="I400" s="10">
        <v>67.0</v>
      </c>
      <c r="J400" s="11" t="s">
        <v>104</v>
      </c>
      <c r="K400" s="12" t="str">
        <f>IFERROR(__xludf.DUMMYFUNCTION("TEXTJOIN("""",TRUE, REGEXEXTRACT(J400, ""\d+""),""-"",LEFT(C400,3),""-"",LEFT(D400),""-"",LEFT(E400,2),LEFT(F400,2), ""-R"",REGEXEXTRACT(H400, ""\d+"") )"),"67-Act-L-1612-R4")</f>
        <v>67-Act-L-1612-R4</v>
      </c>
      <c r="L400" s="8" t="s">
        <v>24</v>
      </c>
      <c r="M400" s="13">
        <v>3.0</v>
      </c>
      <c r="N400" s="14">
        <v>1.16</v>
      </c>
      <c r="O400" s="15">
        <f>SUM(N398:N403)</f>
        <v>7.14</v>
      </c>
      <c r="P400" s="16">
        <f t="shared" si="2"/>
        <v>4.550669216</v>
      </c>
    </row>
    <row r="401">
      <c r="A401" s="17"/>
      <c r="B401" s="18"/>
      <c r="C401" s="48" t="s">
        <v>40</v>
      </c>
      <c r="D401" s="28" t="s">
        <v>17</v>
      </c>
      <c r="E401" s="29" t="s">
        <v>18</v>
      </c>
      <c r="F401" s="29" t="s">
        <v>28</v>
      </c>
      <c r="G401" s="30" t="str">
        <f t="shared" si="1"/>
        <v>16O_12C</v>
      </c>
      <c r="H401" s="45" t="s">
        <v>94</v>
      </c>
      <c r="I401" s="10">
        <v>67.0</v>
      </c>
      <c r="J401" s="11" t="s">
        <v>104</v>
      </c>
      <c r="K401" s="12" t="str">
        <f>IFERROR(__xludf.DUMMYFUNCTION("TEXTJOIN("""",TRUE, REGEXEXTRACT(J401, ""\d+""),""-"",LEFT(C401,3),""-"",LEFT(D401),""-"",LEFT(E401,2),LEFT(F401,2), ""-R"",REGEXEXTRACT(H401, ""\d+"") )"),"67-Act-L-1612-R4")</f>
        <v>67-Act-L-1612-R4</v>
      </c>
      <c r="L401" s="8" t="s">
        <v>25</v>
      </c>
      <c r="M401" s="13">
        <v>4.0</v>
      </c>
      <c r="N401" s="14">
        <v>1.23</v>
      </c>
      <c r="O401" s="19">
        <f>SUM(N398:N403)</f>
        <v>7.14</v>
      </c>
      <c r="P401" s="20">
        <f t="shared" si="2"/>
        <v>4.550669216</v>
      </c>
    </row>
    <row r="402">
      <c r="A402" s="6"/>
      <c r="B402" s="21"/>
      <c r="C402" s="48" t="s">
        <v>40</v>
      </c>
      <c r="D402" s="28" t="s">
        <v>17</v>
      </c>
      <c r="E402" s="29" t="s">
        <v>18</v>
      </c>
      <c r="F402" s="29" t="s">
        <v>28</v>
      </c>
      <c r="G402" s="30" t="str">
        <f t="shared" si="1"/>
        <v>16O_12C</v>
      </c>
      <c r="H402" s="45" t="s">
        <v>94</v>
      </c>
      <c r="I402" s="10">
        <v>67.0</v>
      </c>
      <c r="J402" s="11" t="s">
        <v>104</v>
      </c>
      <c r="K402" s="12" t="str">
        <f>IFERROR(__xludf.DUMMYFUNCTION("TEXTJOIN("""",TRUE, REGEXEXTRACT(J402, ""\d+""),""-"",LEFT(C402,3),""-"",LEFT(D402),""-"",LEFT(E402,2),LEFT(F402,2), ""-R"",REGEXEXTRACT(H402, ""\d+"") )"),"67-Act-L-1612-R4")</f>
        <v>67-Act-L-1612-R4</v>
      </c>
      <c r="L402" s="8" t="s">
        <v>26</v>
      </c>
      <c r="M402" s="13">
        <v>5.0</v>
      </c>
      <c r="N402" s="14">
        <v>1.22</v>
      </c>
      <c r="O402" s="15">
        <f>SUM(N398:N403)</f>
        <v>7.14</v>
      </c>
      <c r="P402" s="16">
        <f t="shared" si="2"/>
        <v>4.550669216</v>
      </c>
    </row>
    <row r="403">
      <c r="A403" s="17"/>
      <c r="B403" s="18"/>
      <c r="C403" s="48" t="s">
        <v>40</v>
      </c>
      <c r="D403" s="28" t="s">
        <v>17</v>
      </c>
      <c r="E403" s="29" t="s">
        <v>18</v>
      </c>
      <c r="F403" s="29" t="s">
        <v>28</v>
      </c>
      <c r="G403" s="30" t="str">
        <f t="shared" si="1"/>
        <v>16O_12C</v>
      </c>
      <c r="H403" s="45" t="s">
        <v>94</v>
      </c>
      <c r="I403" s="10">
        <v>67.0</v>
      </c>
      <c r="J403" s="11" t="s">
        <v>104</v>
      </c>
      <c r="K403" s="12" t="str">
        <f>IFERROR(__xludf.DUMMYFUNCTION("TEXTJOIN("""",TRUE, REGEXEXTRACT(J403, ""\d+""),""-"",LEFT(C403,3),""-"",LEFT(D403),""-"",LEFT(E403,2),LEFT(F403,2), ""-R"",REGEXEXTRACT(H403, ""\d+"") )"),"67-Act-L-1612-R4")</f>
        <v>67-Act-L-1612-R4</v>
      </c>
      <c r="L403" s="8" t="s">
        <v>27</v>
      </c>
      <c r="M403" s="13">
        <v>6.0</v>
      </c>
      <c r="N403" s="14">
        <v>1.15</v>
      </c>
      <c r="O403" s="19">
        <f>SUM(N398:N403)</f>
        <v>7.14</v>
      </c>
      <c r="P403" s="20">
        <f t="shared" si="2"/>
        <v>4.550669216</v>
      </c>
    </row>
    <row r="404">
      <c r="A404" s="6"/>
      <c r="B404" s="21"/>
      <c r="C404" s="47" t="s">
        <v>40</v>
      </c>
      <c r="D404" s="23" t="s">
        <v>17</v>
      </c>
      <c r="E404" s="25" t="s">
        <v>30</v>
      </c>
      <c r="F404" s="24" t="s">
        <v>28</v>
      </c>
      <c r="G404" s="26" t="str">
        <f t="shared" si="1"/>
        <v>18O_12C</v>
      </c>
      <c r="H404" s="45" t="s">
        <v>94</v>
      </c>
      <c r="I404" s="10">
        <v>68.0</v>
      </c>
      <c r="J404" s="11" t="s">
        <v>105</v>
      </c>
      <c r="K404" s="12" t="str">
        <f>IFERROR(__xludf.DUMMYFUNCTION("TEXTJOIN("""",TRUE, REGEXEXTRACT(J404, ""\d+""),""-"",LEFT(C404,3),""-"",LEFT(D404),""-"",LEFT(E404,2),LEFT(F404,2), ""-R"",REGEXEXTRACT(H404, ""\d+"") )"),"68-Act-L-1812-R4")</f>
        <v>68-Act-L-1812-R4</v>
      </c>
      <c r="L404" s="8" t="s">
        <v>22</v>
      </c>
      <c r="M404" s="13">
        <v>1.0</v>
      </c>
      <c r="N404" s="14">
        <v>1.19</v>
      </c>
      <c r="O404" s="15">
        <f>SUM(N404:N409)</f>
        <v>7.15</v>
      </c>
      <c r="P404" s="16">
        <f t="shared" si="2"/>
        <v>4.557042702</v>
      </c>
    </row>
    <row r="405">
      <c r="A405" s="17"/>
      <c r="B405" s="18"/>
      <c r="C405" s="47" t="s">
        <v>40</v>
      </c>
      <c r="D405" s="23" t="s">
        <v>17</v>
      </c>
      <c r="E405" s="25" t="s">
        <v>30</v>
      </c>
      <c r="F405" s="24" t="s">
        <v>28</v>
      </c>
      <c r="G405" s="26" t="str">
        <f t="shared" si="1"/>
        <v>18O_12C</v>
      </c>
      <c r="H405" s="45" t="s">
        <v>94</v>
      </c>
      <c r="I405" s="10">
        <v>68.0</v>
      </c>
      <c r="J405" s="11" t="s">
        <v>105</v>
      </c>
      <c r="K405" s="12" t="str">
        <f>IFERROR(__xludf.DUMMYFUNCTION("TEXTJOIN("""",TRUE, REGEXEXTRACT(J405, ""\d+""),""-"",LEFT(C405,3),""-"",LEFT(D405),""-"",LEFT(E405,2),LEFT(F405,2), ""-R"",REGEXEXTRACT(H405, ""\d+"") )"),"68-Act-L-1812-R4")</f>
        <v>68-Act-L-1812-R4</v>
      </c>
      <c r="L405" s="8" t="s">
        <v>23</v>
      </c>
      <c r="M405" s="13">
        <v>2.0</v>
      </c>
      <c r="N405" s="14">
        <v>1.19</v>
      </c>
      <c r="O405" s="19">
        <f>SUM(N404:N409)</f>
        <v>7.15</v>
      </c>
      <c r="P405" s="20">
        <f t="shared" si="2"/>
        <v>4.557042702</v>
      </c>
    </row>
    <row r="406">
      <c r="A406" s="6"/>
      <c r="B406" s="21"/>
      <c r="C406" s="47" t="s">
        <v>40</v>
      </c>
      <c r="D406" s="23" t="s">
        <v>17</v>
      </c>
      <c r="E406" s="25" t="s">
        <v>30</v>
      </c>
      <c r="F406" s="24" t="s">
        <v>28</v>
      </c>
      <c r="G406" s="26" t="str">
        <f t="shared" si="1"/>
        <v>18O_12C</v>
      </c>
      <c r="H406" s="45" t="s">
        <v>94</v>
      </c>
      <c r="I406" s="10">
        <v>68.0</v>
      </c>
      <c r="J406" s="11" t="s">
        <v>105</v>
      </c>
      <c r="K406" s="12" t="str">
        <f>IFERROR(__xludf.DUMMYFUNCTION("TEXTJOIN("""",TRUE, REGEXEXTRACT(J406, ""\d+""),""-"",LEFT(C406,3),""-"",LEFT(D406),""-"",LEFT(E406,2),LEFT(F406,2), ""-R"",REGEXEXTRACT(H406, ""\d+"") )"),"68-Act-L-1812-R4")</f>
        <v>68-Act-L-1812-R4</v>
      </c>
      <c r="L406" s="8" t="s">
        <v>24</v>
      </c>
      <c r="M406" s="13">
        <v>3.0</v>
      </c>
      <c r="N406" s="14">
        <v>1.19</v>
      </c>
      <c r="O406" s="15">
        <f>SUM(N404:N409)</f>
        <v>7.15</v>
      </c>
      <c r="P406" s="16">
        <f t="shared" si="2"/>
        <v>4.557042702</v>
      </c>
    </row>
    <row r="407">
      <c r="A407" s="17"/>
      <c r="B407" s="18"/>
      <c r="C407" s="47" t="s">
        <v>40</v>
      </c>
      <c r="D407" s="23" t="s">
        <v>17</v>
      </c>
      <c r="E407" s="25" t="s">
        <v>30</v>
      </c>
      <c r="F407" s="24" t="s">
        <v>28</v>
      </c>
      <c r="G407" s="26" t="str">
        <f t="shared" si="1"/>
        <v>18O_12C</v>
      </c>
      <c r="H407" s="45" t="s">
        <v>94</v>
      </c>
      <c r="I407" s="10">
        <v>68.0</v>
      </c>
      <c r="J407" s="11" t="s">
        <v>105</v>
      </c>
      <c r="K407" s="12" t="str">
        <f>IFERROR(__xludf.DUMMYFUNCTION("TEXTJOIN("""",TRUE, REGEXEXTRACT(J407, ""\d+""),""-"",LEFT(C407,3),""-"",LEFT(D407),""-"",LEFT(E407,2),LEFT(F407,2), ""-R"",REGEXEXTRACT(H407, ""\d+"") )"),"68-Act-L-1812-R4")</f>
        <v>68-Act-L-1812-R4</v>
      </c>
      <c r="L407" s="8" t="s">
        <v>25</v>
      </c>
      <c r="M407" s="13">
        <v>4.0</v>
      </c>
      <c r="N407" s="14">
        <v>1.22</v>
      </c>
      <c r="O407" s="19">
        <f>SUM(N404:N409)</f>
        <v>7.15</v>
      </c>
      <c r="P407" s="20">
        <f t="shared" si="2"/>
        <v>4.557042702</v>
      </c>
    </row>
    <row r="408">
      <c r="A408" s="6"/>
      <c r="B408" s="21"/>
      <c r="C408" s="47" t="s">
        <v>40</v>
      </c>
      <c r="D408" s="23" t="s">
        <v>17</v>
      </c>
      <c r="E408" s="25" t="s">
        <v>30</v>
      </c>
      <c r="F408" s="24" t="s">
        <v>28</v>
      </c>
      <c r="G408" s="26" t="str">
        <f t="shared" si="1"/>
        <v>18O_12C</v>
      </c>
      <c r="H408" s="45" t="s">
        <v>94</v>
      </c>
      <c r="I408" s="10">
        <v>68.0</v>
      </c>
      <c r="J408" s="11" t="s">
        <v>105</v>
      </c>
      <c r="K408" s="12" t="str">
        <f>IFERROR(__xludf.DUMMYFUNCTION("TEXTJOIN("""",TRUE, REGEXEXTRACT(J408, ""\d+""),""-"",LEFT(C408,3),""-"",LEFT(D408),""-"",LEFT(E408,2),LEFT(F408,2), ""-R"",REGEXEXTRACT(H408, ""\d+"") )"),"68-Act-L-1812-R4")</f>
        <v>68-Act-L-1812-R4</v>
      </c>
      <c r="L408" s="8" t="s">
        <v>26</v>
      </c>
      <c r="M408" s="13">
        <v>5.0</v>
      </c>
      <c r="N408" s="14">
        <v>1.18</v>
      </c>
      <c r="O408" s="15">
        <f>SUM(N404:N409)</f>
        <v>7.15</v>
      </c>
      <c r="P408" s="16">
        <f t="shared" si="2"/>
        <v>4.557042702</v>
      </c>
    </row>
    <row r="409">
      <c r="A409" s="17"/>
      <c r="B409" s="18"/>
      <c r="C409" s="47" t="s">
        <v>40</v>
      </c>
      <c r="D409" s="23" t="s">
        <v>17</v>
      </c>
      <c r="E409" s="25" t="s">
        <v>30</v>
      </c>
      <c r="F409" s="24" t="s">
        <v>28</v>
      </c>
      <c r="G409" s="26" t="str">
        <f t="shared" si="1"/>
        <v>18O_12C</v>
      </c>
      <c r="H409" s="45" t="s">
        <v>94</v>
      </c>
      <c r="I409" s="10">
        <v>68.0</v>
      </c>
      <c r="J409" s="11" t="s">
        <v>105</v>
      </c>
      <c r="K409" s="12" t="str">
        <f>IFERROR(__xludf.DUMMYFUNCTION("TEXTJOIN("""",TRUE, REGEXEXTRACT(J409, ""\d+""),""-"",LEFT(C409,3),""-"",LEFT(D409),""-"",LEFT(E409,2),LEFT(F409,2), ""-R"",REGEXEXTRACT(H409, ""\d+"") )"),"68-Act-L-1812-R4")</f>
        <v>68-Act-L-1812-R4</v>
      </c>
      <c r="L409" s="8" t="s">
        <v>27</v>
      </c>
      <c r="M409" s="13">
        <v>6.0</v>
      </c>
      <c r="N409" s="14">
        <v>1.18</v>
      </c>
      <c r="O409" s="19">
        <f>SUM(N404:N409)</f>
        <v>7.15</v>
      </c>
      <c r="P409" s="20">
        <f t="shared" si="2"/>
        <v>4.557042702</v>
      </c>
    </row>
    <row r="410">
      <c r="A410" s="6"/>
      <c r="B410" s="21"/>
      <c r="C410" s="48" t="s">
        <v>40</v>
      </c>
      <c r="D410" s="32" t="s">
        <v>32</v>
      </c>
      <c r="E410" s="29" t="s">
        <v>18</v>
      </c>
      <c r="F410" s="33" t="s">
        <v>19</v>
      </c>
      <c r="G410" s="30" t="str">
        <f t="shared" si="1"/>
        <v>16O_13C</v>
      </c>
      <c r="H410" s="45" t="s">
        <v>94</v>
      </c>
      <c r="I410" s="10">
        <v>69.0</v>
      </c>
      <c r="J410" s="11" t="s">
        <v>106</v>
      </c>
      <c r="K410" s="12" t="str">
        <f>IFERROR(__xludf.DUMMYFUNCTION("TEXTJOIN("""",TRUE, REGEXEXTRACT(J410, ""\d+""),""-"",LEFT(C410,3),""-"",LEFT(D410),""-"",LEFT(E410,2),LEFT(F410,2), ""-R"",REGEXEXTRACT(H410, ""\d+"") )"),"69-Act-E-1613-R4")</f>
        <v>69-Act-E-1613-R4</v>
      </c>
      <c r="L410" s="8" t="s">
        <v>22</v>
      </c>
      <c r="M410" s="13">
        <v>1.0</v>
      </c>
      <c r="N410" s="14">
        <v>1.23</v>
      </c>
      <c r="O410" s="15">
        <f>SUM(N410:N415)</f>
        <v>7.24</v>
      </c>
      <c r="P410" s="16">
        <f t="shared" si="2"/>
        <v>4.614404079</v>
      </c>
    </row>
    <row r="411">
      <c r="A411" s="17"/>
      <c r="B411" s="18"/>
      <c r="C411" s="48" t="s">
        <v>40</v>
      </c>
      <c r="D411" s="32" t="s">
        <v>32</v>
      </c>
      <c r="E411" s="29" t="s">
        <v>18</v>
      </c>
      <c r="F411" s="33" t="s">
        <v>19</v>
      </c>
      <c r="G411" s="30" t="str">
        <f t="shared" si="1"/>
        <v>16O_13C</v>
      </c>
      <c r="H411" s="45" t="s">
        <v>94</v>
      </c>
      <c r="I411" s="10">
        <v>69.0</v>
      </c>
      <c r="J411" s="11" t="s">
        <v>106</v>
      </c>
      <c r="K411" s="12" t="str">
        <f>IFERROR(__xludf.DUMMYFUNCTION("TEXTJOIN("""",TRUE, REGEXEXTRACT(J411, ""\d+""),""-"",LEFT(C411,3),""-"",LEFT(D411),""-"",LEFT(E411,2),LEFT(F411,2), ""-R"",REGEXEXTRACT(H411, ""\d+"") )"),"69-Act-E-1613-R4")</f>
        <v>69-Act-E-1613-R4</v>
      </c>
      <c r="L411" s="8" t="s">
        <v>23</v>
      </c>
      <c r="M411" s="13">
        <v>2.0</v>
      </c>
      <c r="N411" s="14">
        <v>1.18</v>
      </c>
      <c r="O411" s="19">
        <f>SUM(N410:N415)</f>
        <v>7.24</v>
      </c>
      <c r="P411" s="20">
        <f t="shared" si="2"/>
        <v>4.614404079</v>
      </c>
    </row>
    <row r="412">
      <c r="A412" s="6"/>
      <c r="B412" s="21"/>
      <c r="C412" s="48" t="s">
        <v>40</v>
      </c>
      <c r="D412" s="32" t="s">
        <v>32</v>
      </c>
      <c r="E412" s="29" t="s">
        <v>18</v>
      </c>
      <c r="F412" s="33" t="s">
        <v>19</v>
      </c>
      <c r="G412" s="30" t="str">
        <f t="shared" si="1"/>
        <v>16O_13C</v>
      </c>
      <c r="H412" s="45" t="s">
        <v>94</v>
      </c>
      <c r="I412" s="10">
        <v>69.0</v>
      </c>
      <c r="J412" s="11" t="s">
        <v>106</v>
      </c>
      <c r="K412" s="12" t="str">
        <f>IFERROR(__xludf.DUMMYFUNCTION("TEXTJOIN("""",TRUE, REGEXEXTRACT(J412, ""\d+""),""-"",LEFT(C412,3),""-"",LEFT(D412),""-"",LEFT(E412,2),LEFT(F412,2), ""-R"",REGEXEXTRACT(H412, ""\d+"") )"),"69-Act-E-1613-R4")</f>
        <v>69-Act-E-1613-R4</v>
      </c>
      <c r="L412" s="8" t="s">
        <v>24</v>
      </c>
      <c r="M412" s="13">
        <v>3.0</v>
      </c>
      <c r="N412" s="14">
        <v>1.3</v>
      </c>
      <c r="O412" s="15">
        <f>SUM(N410:N415)</f>
        <v>7.24</v>
      </c>
      <c r="P412" s="16">
        <f t="shared" si="2"/>
        <v>4.614404079</v>
      </c>
    </row>
    <row r="413">
      <c r="A413" s="17"/>
      <c r="B413" s="18"/>
      <c r="C413" s="48" t="s">
        <v>40</v>
      </c>
      <c r="D413" s="32" t="s">
        <v>32</v>
      </c>
      <c r="E413" s="29" t="s">
        <v>18</v>
      </c>
      <c r="F413" s="33" t="s">
        <v>19</v>
      </c>
      <c r="G413" s="30" t="str">
        <f t="shared" si="1"/>
        <v>16O_13C</v>
      </c>
      <c r="H413" s="45" t="s">
        <v>94</v>
      </c>
      <c r="I413" s="10">
        <v>69.0</v>
      </c>
      <c r="J413" s="11" t="s">
        <v>106</v>
      </c>
      <c r="K413" s="12" t="str">
        <f>IFERROR(__xludf.DUMMYFUNCTION("TEXTJOIN("""",TRUE, REGEXEXTRACT(J413, ""\d+""),""-"",LEFT(C413,3),""-"",LEFT(D413),""-"",LEFT(E413,2),LEFT(F413,2), ""-R"",REGEXEXTRACT(H413, ""\d+"") )"),"69-Act-E-1613-R4")</f>
        <v>69-Act-E-1613-R4</v>
      </c>
      <c r="L413" s="8" t="s">
        <v>25</v>
      </c>
      <c r="M413" s="13">
        <v>4.0</v>
      </c>
      <c r="N413" s="14">
        <v>1.18</v>
      </c>
      <c r="O413" s="19">
        <f>SUM(N410:N415)</f>
        <v>7.24</v>
      </c>
      <c r="P413" s="20">
        <f t="shared" si="2"/>
        <v>4.614404079</v>
      </c>
    </row>
    <row r="414">
      <c r="A414" s="6"/>
      <c r="B414" s="21"/>
      <c r="C414" s="48" t="s">
        <v>40</v>
      </c>
      <c r="D414" s="32" t="s">
        <v>32</v>
      </c>
      <c r="E414" s="29" t="s">
        <v>18</v>
      </c>
      <c r="F414" s="33" t="s">
        <v>19</v>
      </c>
      <c r="G414" s="30" t="str">
        <f t="shared" si="1"/>
        <v>16O_13C</v>
      </c>
      <c r="H414" s="45" t="s">
        <v>94</v>
      </c>
      <c r="I414" s="10">
        <v>69.0</v>
      </c>
      <c r="J414" s="11" t="s">
        <v>106</v>
      </c>
      <c r="K414" s="12" t="str">
        <f>IFERROR(__xludf.DUMMYFUNCTION("TEXTJOIN("""",TRUE, REGEXEXTRACT(J414, ""\d+""),""-"",LEFT(C414,3),""-"",LEFT(D414),""-"",LEFT(E414,2),LEFT(F414,2), ""-R"",REGEXEXTRACT(H414, ""\d+"") )"),"69-Act-E-1613-R4")</f>
        <v>69-Act-E-1613-R4</v>
      </c>
      <c r="L414" s="8" t="s">
        <v>26</v>
      </c>
      <c r="M414" s="13">
        <v>5.0</v>
      </c>
      <c r="N414" s="14">
        <v>1.15</v>
      </c>
      <c r="O414" s="15">
        <f>SUM(N410:N415)</f>
        <v>7.24</v>
      </c>
      <c r="P414" s="16">
        <f t="shared" si="2"/>
        <v>4.614404079</v>
      </c>
    </row>
    <row r="415">
      <c r="A415" s="17"/>
      <c r="B415" s="18"/>
      <c r="C415" s="48" t="s">
        <v>40</v>
      </c>
      <c r="D415" s="32" t="s">
        <v>32</v>
      </c>
      <c r="E415" s="29" t="s">
        <v>18</v>
      </c>
      <c r="F415" s="33" t="s">
        <v>19</v>
      </c>
      <c r="G415" s="30" t="str">
        <f t="shared" si="1"/>
        <v>16O_13C</v>
      </c>
      <c r="H415" s="45" t="s">
        <v>94</v>
      </c>
      <c r="I415" s="10">
        <v>69.0</v>
      </c>
      <c r="J415" s="11" t="s">
        <v>106</v>
      </c>
      <c r="K415" s="12" t="str">
        <f>IFERROR(__xludf.DUMMYFUNCTION("TEXTJOIN("""",TRUE, REGEXEXTRACT(J415, ""\d+""),""-"",LEFT(C415,3),""-"",LEFT(D415),""-"",LEFT(E415,2),LEFT(F415,2), ""-R"",REGEXEXTRACT(H415, ""\d+"") )"),"69-Act-E-1613-R4")</f>
        <v>69-Act-E-1613-R4</v>
      </c>
      <c r="L415" s="8" t="s">
        <v>27</v>
      </c>
      <c r="M415" s="13">
        <v>6.0</v>
      </c>
      <c r="N415" s="14">
        <v>1.2</v>
      </c>
      <c r="O415" s="19">
        <f>SUM(N410:N415)</f>
        <v>7.24</v>
      </c>
      <c r="P415" s="20">
        <f t="shared" si="2"/>
        <v>4.614404079</v>
      </c>
    </row>
    <row r="416">
      <c r="A416" s="6"/>
      <c r="B416" s="21"/>
      <c r="C416" s="47" t="s">
        <v>40</v>
      </c>
      <c r="D416" s="35" t="s">
        <v>32</v>
      </c>
      <c r="E416" s="24" t="s">
        <v>18</v>
      </c>
      <c r="F416" s="24" t="s">
        <v>28</v>
      </c>
      <c r="G416" s="26" t="str">
        <f t="shared" si="1"/>
        <v>16O_12C</v>
      </c>
      <c r="H416" s="45" t="s">
        <v>94</v>
      </c>
      <c r="I416" s="10">
        <v>70.0</v>
      </c>
      <c r="J416" s="11" t="s">
        <v>107</v>
      </c>
      <c r="K416" s="12" t="str">
        <f>IFERROR(__xludf.DUMMYFUNCTION("TEXTJOIN("""",TRUE, REGEXEXTRACT(J416, ""\d+""),""-"",LEFT(C416,3),""-"",LEFT(D416),""-"",LEFT(E416,2),LEFT(F416,2), ""-R"",REGEXEXTRACT(H416, ""\d+"") )"),"70-Act-E-1612-R4")</f>
        <v>70-Act-E-1612-R4</v>
      </c>
      <c r="L416" s="8" t="s">
        <v>22</v>
      </c>
      <c r="M416" s="13">
        <v>1.0</v>
      </c>
      <c r="N416" s="14">
        <v>1.22</v>
      </c>
      <c r="O416" s="15">
        <f>SUM(N416:N421)</f>
        <v>7.19</v>
      </c>
      <c r="P416" s="16">
        <f t="shared" si="2"/>
        <v>4.582536648</v>
      </c>
    </row>
    <row r="417">
      <c r="A417" s="17"/>
      <c r="B417" s="18"/>
      <c r="C417" s="47" t="s">
        <v>40</v>
      </c>
      <c r="D417" s="35" t="s">
        <v>32</v>
      </c>
      <c r="E417" s="24" t="s">
        <v>18</v>
      </c>
      <c r="F417" s="24" t="s">
        <v>28</v>
      </c>
      <c r="G417" s="26" t="str">
        <f t="shared" si="1"/>
        <v>16O_12C</v>
      </c>
      <c r="H417" s="45" t="s">
        <v>94</v>
      </c>
      <c r="I417" s="10">
        <v>70.0</v>
      </c>
      <c r="J417" s="11" t="s">
        <v>107</v>
      </c>
      <c r="K417" s="12" t="str">
        <f>IFERROR(__xludf.DUMMYFUNCTION("TEXTJOIN("""",TRUE, REGEXEXTRACT(J417, ""\d+""),""-"",LEFT(C417,3),""-"",LEFT(D417),""-"",LEFT(E417,2),LEFT(F417,2), ""-R"",REGEXEXTRACT(H417, ""\d+"") )"),"70-Act-E-1612-R4")</f>
        <v>70-Act-E-1612-R4</v>
      </c>
      <c r="L417" s="8" t="s">
        <v>23</v>
      </c>
      <c r="M417" s="13">
        <v>2.0</v>
      </c>
      <c r="N417" s="14">
        <v>1.19</v>
      </c>
      <c r="O417" s="19">
        <f>SUM(N416:N421)</f>
        <v>7.19</v>
      </c>
      <c r="P417" s="20">
        <f t="shared" si="2"/>
        <v>4.582536648</v>
      </c>
    </row>
    <row r="418">
      <c r="A418" s="6"/>
      <c r="B418" s="21"/>
      <c r="C418" s="47" t="s">
        <v>40</v>
      </c>
      <c r="D418" s="35" t="s">
        <v>32</v>
      </c>
      <c r="E418" s="24" t="s">
        <v>18</v>
      </c>
      <c r="F418" s="24" t="s">
        <v>28</v>
      </c>
      <c r="G418" s="26" t="str">
        <f t="shared" si="1"/>
        <v>16O_12C</v>
      </c>
      <c r="H418" s="45" t="s">
        <v>94</v>
      </c>
      <c r="I418" s="10">
        <v>70.0</v>
      </c>
      <c r="J418" s="11" t="s">
        <v>107</v>
      </c>
      <c r="K418" s="12" t="str">
        <f>IFERROR(__xludf.DUMMYFUNCTION("TEXTJOIN("""",TRUE, REGEXEXTRACT(J418, ""\d+""),""-"",LEFT(C418,3),""-"",LEFT(D418),""-"",LEFT(E418,2),LEFT(F418,2), ""-R"",REGEXEXTRACT(H418, ""\d+"") )"),"70-Act-E-1612-R4")</f>
        <v>70-Act-E-1612-R4</v>
      </c>
      <c r="L418" s="8" t="s">
        <v>24</v>
      </c>
      <c r="M418" s="13">
        <v>3.0</v>
      </c>
      <c r="N418" s="14">
        <v>1.22</v>
      </c>
      <c r="O418" s="15">
        <f>SUM(N416:N421)</f>
        <v>7.19</v>
      </c>
      <c r="P418" s="16">
        <f t="shared" si="2"/>
        <v>4.582536648</v>
      </c>
    </row>
    <row r="419">
      <c r="A419" s="17"/>
      <c r="B419" s="18"/>
      <c r="C419" s="47" t="s">
        <v>40</v>
      </c>
      <c r="D419" s="35" t="s">
        <v>32</v>
      </c>
      <c r="E419" s="24" t="s">
        <v>18</v>
      </c>
      <c r="F419" s="24" t="s">
        <v>28</v>
      </c>
      <c r="G419" s="26" t="str">
        <f t="shared" si="1"/>
        <v>16O_12C</v>
      </c>
      <c r="H419" s="45" t="s">
        <v>94</v>
      </c>
      <c r="I419" s="10">
        <v>70.0</v>
      </c>
      <c r="J419" s="11" t="s">
        <v>107</v>
      </c>
      <c r="K419" s="12" t="str">
        <f>IFERROR(__xludf.DUMMYFUNCTION("TEXTJOIN("""",TRUE, REGEXEXTRACT(J419, ""\d+""),""-"",LEFT(C419,3),""-"",LEFT(D419),""-"",LEFT(E419,2),LEFT(F419,2), ""-R"",REGEXEXTRACT(H419, ""\d+"") )"),"70-Act-E-1612-R4")</f>
        <v>70-Act-E-1612-R4</v>
      </c>
      <c r="L419" s="8" t="s">
        <v>25</v>
      </c>
      <c r="M419" s="13">
        <v>4.0</v>
      </c>
      <c r="N419" s="14">
        <f>2.35-1.22</f>
        <v>1.13</v>
      </c>
      <c r="O419" s="19">
        <f>SUM(N416:N421)</f>
        <v>7.19</v>
      </c>
      <c r="P419" s="20">
        <f t="shared" si="2"/>
        <v>4.582536648</v>
      </c>
    </row>
    <row r="420">
      <c r="A420" s="6"/>
      <c r="B420" s="21"/>
      <c r="C420" s="47" t="s">
        <v>40</v>
      </c>
      <c r="D420" s="35" t="s">
        <v>32</v>
      </c>
      <c r="E420" s="24" t="s">
        <v>18</v>
      </c>
      <c r="F420" s="24" t="s">
        <v>28</v>
      </c>
      <c r="G420" s="26" t="str">
        <f t="shared" si="1"/>
        <v>16O_12C</v>
      </c>
      <c r="H420" s="45" t="s">
        <v>94</v>
      </c>
      <c r="I420" s="10">
        <v>70.0</v>
      </c>
      <c r="J420" s="11" t="s">
        <v>107</v>
      </c>
      <c r="K420" s="12" t="str">
        <f>IFERROR(__xludf.DUMMYFUNCTION("TEXTJOIN("""",TRUE, REGEXEXTRACT(J420, ""\d+""),""-"",LEFT(C420,3),""-"",LEFT(D420),""-"",LEFT(E420,2),LEFT(F420,2), ""-R"",REGEXEXTRACT(H420, ""\d+"") )"),"70-Act-E-1612-R4")</f>
        <v>70-Act-E-1612-R4</v>
      </c>
      <c r="L420" s="8" t="s">
        <v>26</v>
      </c>
      <c r="M420" s="13">
        <v>5.0</v>
      </c>
      <c r="N420" s="14">
        <v>1.21</v>
      </c>
      <c r="O420" s="15">
        <f>SUM(N416:N421)</f>
        <v>7.19</v>
      </c>
      <c r="P420" s="16">
        <f t="shared" si="2"/>
        <v>4.582536648</v>
      </c>
    </row>
    <row r="421">
      <c r="A421" s="17"/>
      <c r="B421" s="18"/>
      <c r="C421" s="47" t="s">
        <v>40</v>
      </c>
      <c r="D421" s="35" t="s">
        <v>32</v>
      </c>
      <c r="E421" s="24" t="s">
        <v>18</v>
      </c>
      <c r="F421" s="24" t="s">
        <v>28</v>
      </c>
      <c r="G421" s="26" t="str">
        <f t="shared" si="1"/>
        <v>16O_12C</v>
      </c>
      <c r="H421" s="45" t="s">
        <v>94</v>
      </c>
      <c r="I421" s="10">
        <v>70.0</v>
      </c>
      <c r="J421" s="11" t="s">
        <v>107</v>
      </c>
      <c r="K421" s="12" t="str">
        <f>IFERROR(__xludf.DUMMYFUNCTION("TEXTJOIN("""",TRUE, REGEXEXTRACT(J421, ""\d+""),""-"",LEFT(C421,3),""-"",LEFT(D421),""-"",LEFT(E421,2),LEFT(F421,2), ""-R"",REGEXEXTRACT(H421, ""\d+"") )"),"70-Act-E-1612-R4")</f>
        <v>70-Act-E-1612-R4</v>
      </c>
      <c r="L421" s="8" t="s">
        <v>27</v>
      </c>
      <c r="M421" s="13">
        <v>6.0</v>
      </c>
      <c r="N421" s="14">
        <v>1.22</v>
      </c>
      <c r="O421" s="19">
        <f>SUM(N416:N421)</f>
        <v>7.19</v>
      </c>
      <c r="P421" s="20">
        <f t="shared" si="2"/>
        <v>4.582536648</v>
      </c>
    </row>
    <row r="422">
      <c r="A422" s="6"/>
      <c r="B422" s="21"/>
      <c r="C422" s="48" t="s">
        <v>40</v>
      </c>
      <c r="D422" s="32" t="s">
        <v>32</v>
      </c>
      <c r="E422" s="33" t="s">
        <v>30</v>
      </c>
      <c r="F422" s="29" t="s">
        <v>28</v>
      </c>
      <c r="G422" s="30" t="str">
        <f t="shared" si="1"/>
        <v>18O_12C</v>
      </c>
      <c r="H422" s="45" t="s">
        <v>94</v>
      </c>
      <c r="I422" s="10">
        <v>71.0</v>
      </c>
      <c r="J422" s="11" t="s">
        <v>108</v>
      </c>
      <c r="K422" s="12" t="str">
        <f>IFERROR(__xludf.DUMMYFUNCTION("TEXTJOIN("""",TRUE, REGEXEXTRACT(J422, ""\d+""),""-"",LEFT(C422,3),""-"",LEFT(D422),""-"",LEFT(E422,2),LEFT(F422,2), ""-R"",REGEXEXTRACT(H422, ""\d+"") )"),"71-Act-E-1812-R4")</f>
        <v>71-Act-E-1812-R4</v>
      </c>
      <c r="L422" s="8" t="s">
        <v>22</v>
      </c>
      <c r="M422" s="13">
        <v>1.0</v>
      </c>
      <c r="N422" s="14">
        <v>1.16</v>
      </c>
      <c r="O422" s="15">
        <f>SUM(N422:N427)</f>
        <v>7.17</v>
      </c>
      <c r="P422" s="16">
        <f t="shared" si="2"/>
        <v>4.569789675</v>
      </c>
    </row>
    <row r="423">
      <c r="A423" s="17"/>
      <c r="B423" s="18"/>
      <c r="C423" s="48" t="s">
        <v>40</v>
      </c>
      <c r="D423" s="32" t="s">
        <v>32</v>
      </c>
      <c r="E423" s="33" t="s">
        <v>30</v>
      </c>
      <c r="F423" s="29" t="s">
        <v>28</v>
      </c>
      <c r="G423" s="30" t="str">
        <f t="shared" si="1"/>
        <v>18O_12C</v>
      </c>
      <c r="H423" s="45" t="s">
        <v>94</v>
      </c>
      <c r="I423" s="10">
        <v>71.0</v>
      </c>
      <c r="J423" s="11" t="s">
        <v>108</v>
      </c>
      <c r="K423" s="12" t="str">
        <f>IFERROR(__xludf.DUMMYFUNCTION("TEXTJOIN("""",TRUE, REGEXEXTRACT(J423, ""\d+""),""-"",LEFT(C423,3),""-"",LEFT(D423),""-"",LEFT(E423,2),LEFT(F423,2), ""-R"",REGEXEXTRACT(H423, ""\d+"") )"),"71-Act-E-1812-R4")</f>
        <v>71-Act-E-1812-R4</v>
      </c>
      <c r="L423" s="8" t="s">
        <v>23</v>
      </c>
      <c r="M423" s="13">
        <v>2.0</v>
      </c>
      <c r="N423" s="14">
        <v>1.18</v>
      </c>
      <c r="O423" s="19">
        <f>SUM(N422:N427)</f>
        <v>7.17</v>
      </c>
      <c r="P423" s="20">
        <f t="shared" si="2"/>
        <v>4.569789675</v>
      </c>
    </row>
    <row r="424">
      <c r="A424" s="6"/>
      <c r="B424" s="21"/>
      <c r="C424" s="48" t="s">
        <v>40</v>
      </c>
      <c r="D424" s="32" t="s">
        <v>32</v>
      </c>
      <c r="E424" s="33" t="s">
        <v>30</v>
      </c>
      <c r="F424" s="29" t="s">
        <v>28</v>
      </c>
      <c r="G424" s="30" t="str">
        <f t="shared" si="1"/>
        <v>18O_12C</v>
      </c>
      <c r="H424" s="45" t="s">
        <v>94</v>
      </c>
      <c r="I424" s="10">
        <v>71.0</v>
      </c>
      <c r="J424" s="11" t="s">
        <v>108</v>
      </c>
      <c r="K424" s="12" t="str">
        <f>IFERROR(__xludf.DUMMYFUNCTION("TEXTJOIN("""",TRUE, REGEXEXTRACT(J424, ""\d+""),""-"",LEFT(C424,3),""-"",LEFT(D424),""-"",LEFT(E424,2),LEFT(F424,2), ""-R"",REGEXEXTRACT(H424, ""\d+"") )"),"71-Act-E-1812-R4")</f>
        <v>71-Act-E-1812-R4</v>
      </c>
      <c r="L424" s="8" t="s">
        <v>24</v>
      </c>
      <c r="M424" s="13">
        <v>3.0</v>
      </c>
      <c r="N424" s="14">
        <v>1.27</v>
      </c>
      <c r="O424" s="15">
        <f>SUM(N422:N427)</f>
        <v>7.17</v>
      </c>
      <c r="P424" s="16">
        <f t="shared" si="2"/>
        <v>4.569789675</v>
      </c>
    </row>
    <row r="425">
      <c r="A425" s="17"/>
      <c r="B425" s="18"/>
      <c r="C425" s="48" t="s">
        <v>40</v>
      </c>
      <c r="D425" s="32" t="s">
        <v>32</v>
      </c>
      <c r="E425" s="33" t="s">
        <v>30</v>
      </c>
      <c r="F425" s="29" t="s">
        <v>28</v>
      </c>
      <c r="G425" s="30" t="str">
        <f t="shared" si="1"/>
        <v>18O_12C</v>
      </c>
      <c r="H425" s="45" t="s">
        <v>94</v>
      </c>
      <c r="I425" s="10">
        <v>71.0</v>
      </c>
      <c r="J425" s="11" t="s">
        <v>108</v>
      </c>
      <c r="K425" s="12" t="str">
        <f>IFERROR(__xludf.DUMMYFUNCTION("TEXTJOIN("""",TRUE, REGEXEXTRACT(J425, ""\d+""),""-"",LEFT(C425,3),""-"",LEFT(D425),""-"",LEFT(E425,2),LEFT(F425,2), ""-R"",REGEXEXTRACT(H425, ""\d+"") )"),"71-Act-E-1812-R4")</f>
        <v>71-Act-E-1812-R4</v>
      </c>
      <c r="L425" s="8" t="s">
        <v>25</v>
      </c>
      <c r="M425" s="13">
        <v>4.0</v>
      </c>
      <c r="N425" s="14">
        <v>1.17</v>
      </c>
      <c r="O425" s="19">
        <f>SUM(N422:N427)</f>
        <v>7.17</v>
      </c>
      <c r="P425" s="20">
        <f t="shared" si="2"/>
        <v>4.569789675</v>
      </c>
    </row>
    <row r="426">
      <c r="A426" s="6"/>
      <c r="B426" s="21"/>
      <c r="C426" s="48" t="s">
        <v>40</v>
      </c>
      <c r="D426" s="32" t="s">
        <v>32</v>
      </c>
      <c r="E426" s="33" t="s">
        <v>30</v>
      </c>
      <c r="F426" s="29" t="s">
        <v>28</v>
      </c>
      <c r="G426" s="30" t="str">
        <f t="shared" si="1"/>
        <v>18O_12C</v>
      </c>
      <c r="H426" s="45" t="s">
        <v>94</v>
      </c>
      <c r="I426" s="10">
        <v>71.0</v>
      </c>
      <c r="J426" s="11" t="s">
        <v>108</v>
      </c>
      <c r="K426" s="12" t="str">
        <f>IFERROR(__xludf.DUMMYFUNCTION("TEXTJOIN("""",TRUE, REGEXEXTRACT(J426, ""\d+""),""-"",LEFT(C426,3),""-"",LEFT(D426),""-"",LEFT(E426,2),LEFT(F426,2), ""-R"",REGEXEXTRACT(H426, ""\d+"") )"),"71-Act-E-1812-R4")</f>
        <v>71-Act-E-1812-R4</v>
      </c>
      <c r="L426" s="8" t="s">
        <v>26</v>
      </c>
      <c r="M426" s="13">
        <v>5.0</v>
      </c>
      <c r="N426" s="14">
        <v>1.21</v>
      </c>
      <c r="O426" s="15">
        <f>SUM(N422:N427)</f>
        <v>7.17</v>
      </c>
      <c r="P426" s="16">
        <f t="shared" si="2"/>
        <v>4.569789675</v>
      </c>
    </row>
    <row r="427">
      <c r="A427" s="17"/>
      <c r="B427" s="18"/>
      <c r="C427" s="48" t="s">
        <v>40</v>
      </c>
      <c r="D427" s="32" t="s">
        <v>32</v>
      </c>
      <c r="E427" s="33" t="s">
        <v>30</v>
      </c>
      <c r="F427" s="29" t="s">
        <v>28</v>
      </c>
      <c r="G427" s="30" t="str">
        <f t="shared" si="1"/>
        <v>18O_12C</v>
      </c>
      <c r="H427" s="45" t="s">
        <v>94</v>
      </c>
      <c r="I427" s="10">
        <v>71.0</v>
      </c>
      <c r="J427" s="11" t="s">
        <v>108</v>
      </c>
      <c r="K427" s="12" t="str">
        <f>IFERROR(__xludf.DUMMYFUNCTION("TEXTJOIN("""",TRUE, REGEXEXTRACT(J427, ""\d+""),""-"",LEFT(C427,3),""-"",LEFT(D427),""-"",LEFT(E427,2),LEFT(F427,2), ""-R"",REGEXEXTRACT(H427, ""\d+"") )"),"71-Act-E-1812-R4")</f>
        <v>71-Act-E-1812-R4</v>
      </c>
      <c r="L427" s="8" t="s">
        <v>27</v>
      </c>
      <c r="M427" s="13">
        <v>6.0</v>
      </c>
      <c r="N427" s="14">
        <v>1.18</v>
      </c>
      <c r="O427" s="19">
        <f>SUM(N422:N427)</f>
        <v>7.17</v>
      </c>
      <c r="P427" s="20">
        <f t="shared" si="2"/>
        <v>4.569789675</v>
      </c>
    </row>
    <row r="428">
      <c r="A428" s="6"/>
      <c r="B428" s="21"/>
      <c r="C428" s="47" t="s">
        <v>40</v>
      </c>
      <c r="D428" s="36" t="s">
        <v>36</v>
      </c>
      <c r="E428" s="24" t="s">
        <v>18</v>
      </c>
      <c r="F428" s="37" t="s">
        <v>37</v>
      </c>
      <c r="G428" s="26" t="str">
        <f t="shared" si="1"/>
        <v>16O_No C</v>
      </c>
      <c r="H428" s="45" t="s">
        <v>94</v>
      </c>
      <c r="I428" s="10">
        <v>72.0</v>
      </c>
      <c r="J428" s="11" t="s">
        <v>109</v>
      </c>
      <c r="K428" s="12" t="str">
        <f>IFERROR(__xludf.DUMMYFUNCTION("TEXTJOIN("""",TRUE, REGEXEXTRACT(J428, ""\d+""),""-"",LEFT(C428,3),""-"",LEFT(D428),""-"",LEFT(E428,2),LEFT(F428,2), ""-R"",REGEXEXTRACT(H428, ""\d+"") )"),"72-Act-N-16No-R4")</f>
        <v>72-Act-N-16No-R4</v>
      </c>
      <c r="L428" s="8" t="s">
        <v>22</v>
      </c>
      <c r="M428" s="13">
        <v>1.0</v>
      </c>
      <c r="N428" s="14">
        <v>1.12</v>
      </c>
      <c r="O428" s="15">
        <f>SUM(N428:N433)</f>
        <v>7.06</v>
      </c>
      <c r="P428" s="16">
        <f t="shared" si="2"/>
        <v>4.499681326</v>
      </c>
    </row>
    <row r="429">
      <c r="A429" s="17"/>
      <c r="B429" s="18"/>
      <c r="C429" s="47" t="s">
        <v>40</v>
      </c>
      <c r="D429" s="36" t="s">
        <v>36</v>
      </c>
      <c r="E429" s="24" t="s">
        <v>18</v>
      </c>
      <c r="F429" s="37" t="s">
        <v>37</v>
      </c>
      <c r="G429" s="26" t="str">
        <f t="shared" si="1"/>
        <v>16O_No C</v>
      </c>
      <c r="H429" s="45" t="s">
        <v>94</v>
      </c>
      <c r="I429" s="10">
        <v>72.0</v>
      </c>
      <c r="J429" s="11" t="s">
        <v>109</v>
      </c>
      <c r="K429" s="12" t="str">
        <f>IFERROR(__xludf.DUMMYFUNCTION("TEXTJOIN("""",TRUE, REGEXEXTRACT(J429, ""\d+""),""-"",LEFT(C429,3),""-"",LEFT(D429),""-"",LEFT(E429,2),LEFT(F429,2), ""-R"",REGEXEXTRACT(H429, ""\d+"") )"),"72-Act-N-16No-R4")</f>
        <v>72-Act-N-16No-R4</v>
      </c>
      <c r="L429" s="8" t="s">
        <v>23</v>
      </c>
      <c r="M429" s="13">
        <v>2.0</v>
      </c>
      <c r="N429" s="14">
        <v>1.24</v>
      </c>
      <c r="O429" s="19">
        <f>SUM(N428:N433)</f>
        <v>7.06</v>
      </c>
      <c r="P429" s="20">
        <f t="shared" si="2"/>
        <v>4.499681326</v>
      </c>
    </row>
    <row r="430">
      <c r="A430" s="6"/>
      <c r="B430" s="21"/>
      <c r="C430" s="47" t="s">
        <v>40</v>
      </c>
      <c r="D430" s="36" t="s">
        <v>36</v>
      </c>
      <c r="E430" s="24" t="s">
        <v>18</v>
      </c>
      <c r="F430" s="37" t="s">
        <v>37</v>
      </c>
      <c r="G430" s="26" t="str">
        <f t="shared" si="1"/>
        <v>16O_No C</v>
      </c>
      <c r="H430" s="45" t="s">
        <v>94</v>
      </c>
      <c r="I430" s="10">
        <v>72.0</v>
      </c>
      <c r="J430" s="11" t="s">
        <v>109</v>
      </c>
      <c r="K430" s="12" t="str">
        <f>IFERROR(__xludf.DUMMYFUNCTION("TEXTJOIN("""",TRUE, REGEXEXTRACT(J430, ""\d+""),""-"",LEFT(C430,3),""-"",LEFT(D430),""-"",LEFT(E430,2),LEFT(F430,2), ""-R"",REGEXEXTRACT(H430, ""\d+"") )"),"72-Act-N-16No-R4")</f>
        <v>72-Act-N-16No-R4</v>
      </c>
      <c r="L430" s="8" t="s">
        <v>24</v>
      </c>
      <c r="M430" s="13">
        <v>3.0</v>
      </c>
      <c r="N430" s="14">
        <v>1.16</v>
      </c>
      <c r="O430" s="15">
        <f>SUM(N428:N433)</f>
        <v>7.06</v>
      </c>
      <c r="P430" s="16">
        <f t="shared" si="2"/>
        <v>4.499681326</v>
      </c>
    </row>
    <row r="431">
      <c r="A431" s="17"/>
      <c r="B431" s="18"/>
      <c r="C431" s="47" t="s">
        <v>40</v>
      </c>
      <c r="D431" s="36" t="s">
        <v>36</v>
      </c>
      <c r="E431" s="24" t="s">
        <v>18</v>
      </c>
      <c r="F431" s="37" t="s">
        <v>37</v>
      </c>
      <c r="G431" s="26" t="str">
        <f t="shared" si="1"/>
        <v>16O_No C</v>
      </c>
      <c r="H431" s="45" t="s">
        <v>94</v>
      </c>
      <c r="I431" s="10">
        <v>72.0</v>
      </c>
      <c r="J431" s="11" t="s">
        <v>109</v>
      </c>
      <c r="K431" s="12" t="str">
        <f>IFERROR(__xludf.DUMMYFUNCTION("TEXTJOIN("""",TRUE, REGEXEXTRACT(J431, ""\d+""),""-"",LEFT(C431,3),""-"",LEFT(D431),""-"",LEFT(E431,2),LEFT(F431,2), ""-R"",REGEXEXTRACT(H431, ""\d+"") )"),"72-Act-N-16No-R4")</f>
        <v>72-Act-N-16No-R4</v>
      </c>
      <c r="L431" s="8" t="s">
        <v>25</v>
      </c>
      <c r="M431" s="13">
        <v>4.0</v>
      </c>
      <c r="N431" s="14">
        <v>1.21</v>
      </c>
      <c r="O431" s="19">
        <f>SUM(N428:N433)</f>
        <v>7.06</v>
      </c>
      <c r="P431" s="20">
        <f t="shared" si="2"/>
        <v>4.499681326</v>
      </c>
    </row>
    <row r="432">
      <c r="A432" s="6"/>
      <c r="B432" s="21"/>
      <c r="C432" s="47" t="s">
        <v>40</v>
      </c>
      <c r="D432" s="36" t="s">
        <v>36</v>
      </c>
      <c r="E432" s="24" t="s">
        <v>18</v>
      </c>
      <c r="F432" s="37" t="s">
        <v>37</v>
      </c>
      <c r="G432" s="26" t="str">
        <f t="shared" si="1"/>
        <v>16O_No C</v>
      </c>
      <c r="H432" s="45" t="s">
        <v>94</v>
      </c>
      <c r="I432" s="10">
        <v>72.0</v>
      </c>
      <c r="J432" s="11" t="s">
        <v>109</v>
      </c>
      <c r="K432" s="12" t="str">
        <f>IFERROR(__xludf.DUMMYFUNCTION("TEXTJOIN("""",TRUE, REGEXEXTRACT(J432, ""\d+""),""-"",LEFT(C432,3),""-"",LEFT(D432),""-"",LEFT(E432,2),LEFT(F432,2), ""-R"",REGEXEXTRACT(H432, ""\d+"") )"),"72-Act-N-16No-R4")</f>
        <v>72-Act-N-16No-R4</v>
      </c>
      <c r="L432" s="8" t="s">
        <v>26</v>
      </c>
      <c r="M432" s="13">
        <v>5.0</v>
      </c>
      <c r="N432" s="14">
        <v>1.18</v>
      </c>
      <c r="O432" s="15">
        <f>SUM(N428:N433)</f>
        <v>7.06</v>
      </c>
      <c r="P432" s="16">
        <f t="shared" si="2"/>
        <v>4.499681326</v>
      </c>
    </row>
    <row r="433">
      <c r="A433" s="17"/>
      <c r="B433" s="18"/>
      <c r="C433" s="47" t="s">
        <v>40</v>
      </c>
      <c r="D433" s="36" t="s">
        <v>36</v>
      </c>
      <c r="E433" s="24" t="s">
        <v>18</v>
      </c>
      <c r="F433" s="37" t="s">
        <v>37</v>
      </c>
      <c r="G433" s="26" t="str">
        <f t="shared" si="1"/>
        <v>16O_No C</v>
      </c>
      <c r="H433" s="45" t="s">
        <v>94</v>
      </c>
      <c r="I433" s="10">
        <v>72.0</v>
      </c>
      <c r="J433" s="11" t="s">
        <v>109</v>
      </c>
      <c r="K433" s="12" t="str">
        <f>IFERROR(__xludf.DUMMYFUNCTION("TEXTJOIN("""",TRUE, REGEXEXTRACT(J433, ""\d+""),""-"",LEFT(C433,3),""-"",LEFT(D433),""-"",LEFT(E433,2),LEFT(F433,2), ""-R"",REGEXEXTRACT(H433, ""\d+"") )"),"72-Act-N-16No-R4")</f>
        <v>72-Act-N-16No-R4</v>
      </c>
      <c r="L433" s="8" t="s">
        <v>27</v>
      </c>
      <c r="M433" s="13">
        <v>6.0</v>
      </c>
      <c r="N433" s="14">
        <v>1.15</v>
      </c>
      <c r="O433" s="19">
        <f>SUM(N428:N433)</f>
        <v>7.06</v>
      </c>
      <c r="P433" s="20">
        <f t="shared" si="2"/>
        <v>4.499681326</v>
      </c>
    </row>
    <row r="434">
      <c r="A434" s="6"/>
      <c r="B434" s="21"/>
      <c r="C434" s="48" t="s">
        <v>40</v>
      </c>
      <c r="D434" s="38" t="s">
        <v>36</v>
      </c>
      <c r="E434" s="33" t="s">
        <v>30</v>
      </c>
      <c r="F434" s="39" t="s">
        <v>37</v>
      </c>
      <c r="G434" s="30" t="str">
        <f t="shared" si="1"/>
        <v>18O_No C</v>
      </c>
      <c r="H434" s="45" t="s">
        <v>94</v>
      </c>
      <c r="I434" s="10">
        <v>73.0</v>
      </c>
      <c r="J434" s="11" t="s">
        <v>110</v>
      </c>
      <c r="K434" s="12" t="str">
        <f>IFERROR(__xludf.DUMMYFUNCTION("TEXTJOIN("""",TRUE, REGEXEXTRACT(J434, ""\d+""),""-"",LEFT(C434,3),""-"",LEFT(D434),""-"",LEFT(E434,2),LEFT(F434,2), ""-R"",REGEXEXTRACT(H434, ""\d+"") )"),"73-Act-N-18No-R4")</f>
        <v>73-Act-N-18No-R4</v>
      </c>
      <c r="L434" s="8" t="s">
        <v>22</v>
      </c>
      <c r="M434" s="13">
        <v>1.0</v>
      </c>
      <c r="N434" s="14">
        <v>1.21</v>
      </c>
      <c r="O434" s="15">
        <f>SUM(N434:N439)</f>
        <v>7.36</v>
      </c>
      <c r="P434" s="16">
        <f t="shared" si="2"/>
        <v>4.690885915</v>
      </c>
    </row>
    <row r="435">
      <c r="A435" s="17"/>
      <c r="B435" s="18"/>
      <c r="C435" s="48" t="s">
        <v>40</v>
      </c>
      <c r="D435" s="38" t="s">
        <v>36</v>
      </c>
      <c r="E435" s="33" t="s">
        <v>30</v>
      </c>
      <c r="F435" s="39" t="s">
        <v>37</v>
      </c>
      <c r="G435" s="30" t="str">
        <f t="shared" si="1"/>
        <v>18O_No C</v>
      </c>
      <c r="H435" s="45" t="s">
        <v>94</v>
      </c>
      <c r="I435" s="10">
        <v>73.0</v>
      </c>
      <c r="J435" s="11" t="s">
        <v>110</v>
      </c>
      <c r="K435" s="12" t="str">
        <f>IFERROR(__xludf.DUMMYFUNCTION("TEXTJOIN("""",TRUE, REGEXEXTRACT(J435, ""\d+""),""-"",LEFT(C435,3),""-"",LEFT(D435),""-"",LEFT(E435,2),LEFT(F435,2), ""-R"",REGEXEXTRACT(H435, ""\d+"") )"),"73-Act-N-18No-R4")</f>
        <v>73-Act-N-18No-R4</v>
      </c>
      <c r="L435" s="8" t="s">
        <v>23</v>
      </c>
      <c r="M435" s="13">
        <v>2.0</v>
      </c>
      <c r="N435" s="14">
        <v>1.19</v>
      </c>
      <c r="O435" s="19">
        <f>SUM(N434:N439)</f>
        <v>7.36</v>
      </c>
      <c r="P435" s="20">
        <f t="shared" si="2"/>
        <v>4.690885915</v>
      </c>
    </row>
    <row r="436">
      <c r="A436" s="6"/>
      <c r="B436" s="21"/>
      <c r="C436" s="48" t="s">
        <v>40</v>
      </c>
      <c r="D436" s="38" t="s">
        <v>36</v>
      </c>
      <c r="E436" s="33" t="s">
        <v>30</v>
      </c>
      <c r="F436" s="39" t="s">
        <v>37</v>
      </c>
      <c r="G436" s="30" t="str">
        <f t="shared" si="1"/>
        <v>18O_No C</v>
      </c>
      <c r="H436" s="45" t="s">
        <v>94</v>
      </c>
      <c r="I436" s="10">
        <v>73.0</v>
      </c>
      <c r="J436" s="11" t="s">
        <v>110</v>
      </c>
      <c r="K436" s="12" t="str">
        <f>IFERROR(__xludf.DUMMYFUNCTION("TEXTJOIN("""",TRUE, REGEXEXTRACT(J436, ""\d+""),""-"",LEFT(C436,3),""-"",LEFT(D436),""-"",LEFT(E436,2),LEFT(F436,2), ""-R"",REGEXEXTRACT(H436, ""\d+"") )"),"73-Act-N-18No-R4")</f>
        <v>73-Act-N-18No-R4</v>
      </c>
      <c r="L436" s="8" t="s">
        <v>24</v>
      </c>
      <c r="M436" s="13">
        <v>3.0</v>
      </c>
      <c r="N436" s="14">
        <v>1.18</v>
      </c>
      <c r="O436" s="15">
        <f>SUM(N434:N439)</f>
        <v>7.36</v>
      </c>
      <c r="P436" s="16">
        <f t="shared" si="2"/>
        <v>4.690885915</v>
      </c>
    </row>
    <row r="437">
      <c r="A437" s="17"/>
      <c r="B437" s="18"/>
      <c r="C437" s="48" t="s">
        <v>40</v>
      </c>
      <c r="D437" s="38" t="s">
        <v>36</v>
      </c>
      <c r="E437" s="33" t="s">
        <v>30</v>
      </c>
      <c r="F437" s="39" t="s">
        <v>37</v>
      </c>
      <c r="G437" s="30" t="str">
        <f t="shared" si="1"/>
        <v>18O_No C</v>
      </c>
      <c r="H437" s="45" t="s">
        <v>94</v>
      </c>
      <c r="I437" s="10">
        <v>73.0</v>
      </c>
      <c r="J437" s="11" t="s">
        <v>110</v>
      </c>
      <c r="K437" s="12" t="str">
        <f>IFERROR(__xludf.DUMMYFUNCTION("TEXTJOIN("""",TRUE, REGEXEXTRACT(J437, ""\d+""),""-"",LEFT(C437,3),""-"",LEFT(D437),""-"",LEFT(E437,2),LEFT(F437,2), ""-R"",REGEXEXTRACT(H437, ""\d+"") )"),"73-Act-N-18No-R4")</f>
        <v>73-Act-N-18No-R4</v>
      </c>
      <c r="L437" s="8" t="s">
        <v>25</v>
      </c>
      <c r="M437" s="13">
        <v>4.0</v>
      </c>
      <c r="N437" s="14">
        <v>1.15</v>
      </c>
      <c r="O437" s="19">
        <f>SUM(N434:N439)</f>
        <v>7.36</v>
      </c>
      <c r="P437" s="20">
        <f t="shared" si="2"/>
        <v>4.690885915</v>
      </c>
    </row>
    <row r="438">
      <c r="A438" s="6"/>
      <c r="B438" s="21"/>
      <c r="C438" s="48" t="s">
        <v>40</v>
      </c>
      <c r="D438" s="38" t="s">
        <v>36</v>
      </c>
      <c r="E438" s="33" t="s">
        <v>30</v>
      </c>
      <c r="F438" s="39" t="s">
        <v>37</v>
      </c>
      <c r="G438" s="30" t="str">
        <f t="shared" si="1"/>
        <v>18O_No C</v>
      </c>
      <c r="H438" s="45" t="s">
        <v>94</v>
      </c>
      <c r="I438" s="10">
        <v>73.0</v>
      </c>
      <c r="J438" s="11" t="s">
        <v>110</v>
      </c>
      <c r="K438" s="12" t="str">
        <f>IFERROR(__xludf.DUMMYFUNCTION("TEXTJOIN("""",TRUE, REGEXEXTRACT(J438, ""\d+""),""-"",LEFT(C438,3),""-"",LEFT(D438),""-"",LEFT(E438,2),LEFT(F438,2), ""-R"",REGEXEXTRACT(H438, ""\d+"") )"),"73-Act-N-18No-R4")</f>
        <v>73-Act-N-18No-R4</v>
      </c>
      <c r="L438" s="8" t="s">
        <v>26</v>
      </c>
      <c r="M438" s="13">
        <v>5.0</v>
      </c>
      <c r="N438" s="14">
        <v>1.27</v>
      </c>
      <c r="O438" s="15">
        <f>SUM(N434:N439)</f>
        <v>7.36</v>
      </c>
      <c r="P438" s="16">
        <f t="shared" si="2"/>
        <v>4.690885915</v>
      </c>
    </row>
    <row r="439">
      <c r="A439" s="17"/>
      <c r="B439" s="18"/>
      <c r="C439" s="48" t="s">
        <v>40</v>
      </c>
      <c r="D439" s="38" t="s">
        <v>36</v>
      </c>
      <c r="E439" s="33" t="s">
        <v>30</v>
      </c>
      <c r="F439" s="39" t="s">
        <v>37</v>
      </c>
      <c r="G439" s="30" t="str">
        <f t="shared" si="1"/>
        <v>18O_No C</v>
      </c>
      <c r="H439" s="45" t="s">
        <v>94</v>
      </c>
      <c r="I439" s="10">
        <v>73.0</v>
      </c>
      <c r="J439" s="11" t="s">
        <v>110</v>
      </c>
      <c r="K439" s="12" t="str">
        <f>IFERROR(__xludf.DUMMYFUNCTION("TEXTJOIN("""",TRUE, REGEXEXTRACT(J439, ""\d+""),""-"",LEFT(C439,3),""-"",LEFT(D439),""-"",LEFT(E439,2),LEFT(F439,2), ""-R"",REGEXEXTRACT(H439, ""\d+"") )"),"73-Act-N-18No-R4")</f>
        <v>73-Act-N-18No-R4</v>
      </c>
      <c r="L439" s="8" t="s">
        <v>27</v>
      </c>
      <c r="M439" s="13">
        <v>6.0</v>
      </c>
      <c r="N439" s="14">
        <v>1.36</v>
      </c>
      <c r="O439" s="19">
        <f>SUM(N434:N439)</f>
        <v>7.36</v>
      </c>
      <c r="P439" s="20">
        <f t="shared" si="2"/>
        <v>4.690885915</v>
      </c>
    </row>
    <row r="440">
      <c r="A440" s="6"/>
      <c r="B440" s="21"/>
      <c r="C440" s="49" t="s">
        <v>50</v>
      </c>
      <c r="D440" s="23" t="s">
        <v>17</v>
      </c>
      <c r="E440" s="24" t="s">
        <v>18</v>
      </c>
      <c r="F440" s="24" t="s">
        <v>28</v>
      </c>
      <c r="G440" s="26" t="str">
        <f t="shared" si="1"/>
        <v>16O_12C</v>
      </c>
      <c r="H440" s="45" t="s">
        <v>94</v>
      </c>
      <c r="I440" s="10">
        <v>74.0</v>
      </c>
      <c r="J440" s="11" t="s">
        <v>111</v>
      </c>
      <c r="K440" s="12" t="str">
        <f>IFERROR(__xludf.DUMMYFUNCTION("TEXTJOIN("""",TRUE, REGEXEXTRACT(J440, ""\d+""),""-"",LEFT(C440,3),""-"",LEFT(D440),""-"",LEFT(E440,2),LEFT(F440,2), ""-R"",REGEXEXTRACT(H440, ""\d+"") )"),"74-Per-L-1612-R4")</f>
        <v>74-Per-L-1612-R4</v>
      </c>
      <c r="L440" s="8" t="s">
        <v>22</v>
      </c>
      <c r="M440" s="13">
        <v>1.0</v>
      </c>
      <c r="N440" s="14">
        <v>1.22</v>
      </c>
      <c r="O440" s="15">
        <f>SUM(N440:N445)</f>
        <v>7.25</v>
      </c>
      <c r="P440" s="16">
        <f t="shared" si="2"/>
        <v>4.620777565</v>
      </c>
    </row>
    <row r="441">
      <c r="A441" s="17"/>
      <c r="B441" s="18"/>
      <c r="C441" s="49" t="s">
        <v>50</v>
      </c>
      <c r="D441" s="23" t="s">
        <v>17</v>
      </c>
      <c r="E441" s="24" t="s">
        <v>18</v>
      </c>
      <c r="F441" s="24" t="s">
        <v>28</v>
      </c>
      <c r="G441" s="26" t="str">
        <f t="shared" si="1"/>
        <v>16O_12C</v>
      </c>
      <c r="H441" s="45" t="s">
        <v>94</v>
      </c>
      <c r="I441" s="10">
        <v>74.0</v>
      </c>
      <c r="J441" s="11" t="s">
        <v>111</v>
      </c>
      <c r="K441" s="12" t="str">
        <f>IFERROR(__xludf.DUMMYFUNCTION("TEXTJOIN("""",TRUE, REGEXEXTRACT(J441, ""\d+""),""-"",LEFT(C441,3),""-"",LEFT(D441),""-"",LEFT(E441,2),LEFT(F441,2), ""-R"",REGEXEXTRACT(H441, ""\d+"") )"),"74-Per-L-1612-R4")</f>
        <v>74-Per-L-1612-R4</v>
      </c>
      <c r="L441" s="8" t="s">
        <v>23</v>
      </c>
      <c r="M441" s="13">
        <v>2.0</v>
      </c>
      <c r="N441" s="14">
        <v>1.2</v>
      </c>
      <c r="O441" s="19">
        <f>SUM(N440:N445)</f>
        <v>7.25</v>
      </c>
      <c r="P441" s="20">
        <f t="shared" si="2"/>
        <v>4.620777565</v>
      </c>
    </row>
    <row r="442">
      <c r="A442" s="6"/>
      <c r="B442" s="21"/>
      <c r="C442" s="49" t="s">
        <v>50</v>
      </c>
      <c r="D442" s="23" t="s">
        <v>17</v>
      </c>
      <c r="E442" s="24" t="s">
        <v>18</v>
      </c>
      <c r="F442" s="24" t="s">
        <v>28</v>
      </c>
      <c r="G442" s="26" t="str">
        <f t="shared" si="1"/>
        <v>16O_12C</v>
      </c>
      <c r="H442" s="45" t="s">
        <v>94</v>
      </c>
      <c r="I442" s="10">
        <v>74.0</v>
      </c>
      <c r="J442" s="11" t="s">
        <v>111</v>
      </c>
      <c r="K442" s="12" t="str">
        <f>IFERROR(__xludf.DUMMYFUNCTION("TEXTJOIN("""",TRUE, REGEXEXTRACT(J442, ""\d+""),""-"",LEFT(C442,3),""-"",LEFT(D442),""-"",LEFT(E442,2),LEFT(F442,2), ""-R"",REGEXEXTRACT(H442, ""\d+"") )"),"74-Per-L-1612-R4")</f>
        <v>74-Per-L-1612-R4</v>
      </c>
      <c r="L442" s="8" t="s">
        <v>24</v>
      </c>
      <c r="M442" s="13">
        <v>3.0</v>
      </c>
      <c r="N442" s="14">
        <v>1.21</v>
      </c>
      <c r="O442" s="15">
        <f>SUM(N440:N445)</f>
        <v>7.25</v>
      </c>
      <c r="P442" s="16">
        <f t="shared" si="2"/>
        <v>4.620777565</v>
      </c>
    </row>
    <row r="443">
      <c r="A443" s="17"/>
      <c r="B443" s="18"/>
      <c r="C443" s="49" t="s">
        <v>50</v>
      </c>
      <c r="D443" s="23" t="s">
        <v>17</v>
      </c>
      <c r="E443" s="24" t="s">
        <v>18</v>
      </c>
      <c r="F443" s="24" t="s">
        <v>28</v>
      </c>
      <c r="G443" s="26" t="str">
        <f t="shared" si="1"/>
        <v>16O_12C</v>
      </c>
      <c r="H443" s="45" t="s">
        <v>94</v>
      </c>
      <c r="I443" s="10">
        <v>74.0</v>
      </c>
      <c r="J443" s="11" t="s">
        <v>111</v>
      </c>
      <c r="K443" s="12" t="str">
        <f>IFERROR(__xludf.DUMMYFUNCTION("TEXTJOIN("""",TRUE, REGEXEXTRACT(J443, ""\d+""),""-"",LEFT(C443,3),""-"",LEFT(D443),""-"",LEFT(E443,2),LEFT(F443,2), ""-R"",REGEXEXTRACT(H443, ""\d+"") )"),"74-Per-L-1612-R4")</f>
        <v>74-Per-L-1612-R4</v>
      </c>
      <c r="L443" s="8" t="s">
        <v>25</v>
      </c>
      <c r="M443" s="13">
        <v>4.0</v>
      </c>
      <c r="N443" s="14">
        <v>1.21</v>
      </c>
      <c r="O443" s="19">
        <f>SUM(N440:N445)</f>
        <v>7.25</v>
      </c>
      <c r="P443" s="20">
        <f t="shared" si="2"/>
        <v>4.620777565</v>
      </c>
    </row>
    <row r="444">
      <c r="A444" s="6"/>
      <c r="B444" s="21"/>
      <c r="C444" s="49" t="s">
        <v>50</v>
      </c>
      <c r="D444" s="23" t="s">
        <v>17</v>
      </c>
      <c r="E444" s="24" t="s">
        <v>18</v>
      </c>
      <c r="F444" s="24" t="s">
        <v>28</v>
      </c>
      <c r="G444" s="26" t="str">
        <f t="shared" si="1"/>
        <v>16O_12C</v>
      </c>
      <c r="H444" s="45" t="s">
        <v>94</v>
      </c>
      <c r="I444" s="10">
        <v>74.0</v>
      </c>
      <c r="J444" s="11" t="s">
        <v>111</v>
      </c>
      <c r="K444" s="12" t="str">
        <f>IFERROR(__xludf.DUMMYFUNCTION("TEXTJOIN("""",TRUE, REGEXEXTRACT(J444, ""\d+""),""-"",LEFT(C444,3),""-"",LEFT(D444),""-"",LEFT(E444,2),LEFT(F444,2), ""-R"",REGEXEXTRACT(H444, ""\d+"") )"),"74-Per-L-1612-R4")</f>
        <v>74-Per-L-1612-R4</v>
      </c>
      <c r="L444" s="8" t="s">
        <v>26</v>
      </c>
      <c r="M444" s="13">
        <v>5.0</v>
      </c>
      <c r="N444" s="14">
        <v>1.23</v>
      </c>
      <c r="O444" s="15">
        <f>SUM(N440:N445)</f>
        <v>7.25</v>
      </c>
      <c r="P444" s="16">
        <f t="shared" si="2"/>
        <v>4.620777565</v>
      </c>
    </row>
    <row r="445">
      <c r="A445" s="17"/>
      <c r="B445" s="18"/>
      <c r="C445" s="49" t="s">
        <v>50</v>
      </c>
      <c r="D445" s="23" t="s">
        <v>17</v>
      </c>
      <c r="E445" s="24" t="s">
        <v>18</v>
      </c>
      <c r="F445" s="24" t="s">
        <v>28</v>
      </c>
      <c r="G445" s="26" t="str">
        <f t="shared" si="1"/>
        <v>16O_12C</v>
      </c>
      <c r="H445" s="45" t="s">
        <v>94</v>
      </c>
      <c r="I445" s="10">
        <v>74.0</v>
      </c>
      <c r="J445" s="11" t="s">
        <v>111</v>
      </c>
      <c r="K445" s="12" t="str">
        <f>IFERROR(__xludf.DUMMYFUNCTION("TEXTJOIN("""",TRUE, REGEXEXTRACT(J445, ""\d+""),""-"",LEFT(C445,3),""-"",LEFT(D445),""-"",LEFT(E445,2),LEFT(F445,2), ""-R"",REGEXEXTRACT(H445, ""\d+"") )"),"74-Per-L-1612-R4")</f>
        <v>74-Per-L-1612-R4</v>
      </c>
      <c r="L445" s="8" t="s">
        <v>27</v>
      </c>
      <c r="M445" s="13">
        <v>6.0</v>
      </c>
      <c r="N445" s="14">
        <v>1.18</v>
      </c>
      <c r="O445" s="19">
        <f>SUM(N440:N445)</f>
        <v>7.25</v>
      </c>
      <c r="P445" s="20">
        <f t="shared" si="2"/>
        <v>4.620777565</v>
      </c>
    </row>
    <row r="446">
      <c r="A446" s="6"/>
      <c r="B446" s="21"/>
      <c r="C446" s="22" t="s">
        <v>50</v>
      </c>
      <c r="D446" s="23" t="s">
        <v>17</v>
      </c>
      <c r="E446" s="24" t="s">
        <v>18</v>
      </c>
      <c r="F446" s="40" t="s">
        <v>19</v>
      </c>
      <c r="G446" s="26" t="str">
        <f t="shared" si="1"/>
        <v>16O_13C</v>
      </c>
      <c r="H446" s="27" t="s">
        <v>20</v>
      </c>
      <c r="I446" s="10">
        <v>75.0</v>
      </c>
      <c r="J446" s="11" t="s">
        <v>112</v>
      </c>
      <c r="K446" s="12" t="str">
        <f>IFERROR(__xludf.DUMMYFUNCTION("TEXTJOIN("""",TRUE, REGEXEXTRACT(J446, ""\d+""),""-"",LEFT(C446,3),""-"",LEFT(D446),""-"",LEFT(E446,2),LEFT(F446,2), ""-R"",REGEXEXTRACT(H446, ""\d+"") )"),"75-Per-L-1613-R1")</f>
        <v>75-Per-L-1613-R1</v>
      </c>
      <c r="L446" s="8" t="s">
        <v>22</v>
      </c>
      <c r="M446" s="13">
        <v>1.0</v>
      </c>
      <c r="N446" s="14">
        <v>1.25</v>
      </c>
      <c r="O446" s="15">
        <f>SUM(N446:N451)</f>
        <v>7.24</v>
      </c>
      <c r="P446" s="16">
        <f t="shared" si="2"/>
        <v>4.614404079</v>
      </c>
    </row>
    <row r="447">
      <c r="A447" s="17"/>
      <c r="B447" s="18"/>
      <c r="C447" s="22" t="s">
        <v>50</v>
      </c>
      <c r="D447" s="23" t="s">
        <v>17</v>
      </c>
      <c r="E447" s="24" t="s">
        <v>18</v>
      </c>
      <c r="F447" s="40" t="s">
        <v>19</v>
      </c>
      <c r="G447" s="26" t="str">
        <f t="shared" si="1"/>
        <v>16O_13C</v>
      </c>
      <c r="H447" s="27" t="s">
        <v>20</v>
      </c>
      <c r="I447" s="10">
        <v>75.0</v>
      </c>
      <c r="J447" s="11" t="s">
        <v>112</v>
      </c>
      <c r="K447" s="12" t="str">
        <f>IFERROR(__xludf.DUMMYFUNCTION("TEXTJOIN("""",TRUE, REGEXEXTRACT(J447, ""\d+""),""-"",LEFT(C447,3),""-"",LEFT(D447),""-"",LEFT(E447,2),LEFT(F447,2), ""-R"",REGEXEXTRACT(H447, ""\d+"") )"),"75-Per-L-1613-R1")</f>
        <v>75-Per-L-1613-R1</v>
      </c>
      <c r="L447" s="8" t="s">
        <v>23</v>
      </c>
      <c r="M447" s="13">
        <v>2.0</v>
      </c>
      <c r="N447" s="14">
        <v>1.17</v>
      </c>
      <c r="O447" s="19">
        <f>SUM(N446:N451)</f>
        <v>7.24</v>
      </c>
      <c r="P447" s="20">
        <f t="shared" si="2"/>
        <v>4.614404079</v>
      </c>
    </row>
    <row r="448">
      <c r="A448" s="6"/>
      <c r="B448" s="21"/>
      <c r="C448" s="22" t="s">
        <v>50</v>
      </c>
      <c r="D448" s="23" t="s">
        <v>17</v>
      </c>
      <c r="E448" s="24" t="s">
        <v>18</v>
      </c>
      <c r="F448" s="40" t="s">
        <v>19</v>
      </c>
      <c r="G448" s="26" t="str">
        <f t="shared" si="1"/>
        <v>16O_13C</v>
      </c>
      <c r="H448" s="27" t="s">
        <v>20</v>
      </c>
      <c r="I448" s="10">
        <v>75.0</v>
      </c>
      <c r="J448" s="11" t="s">
        <v>112</v>
      </c>
      <c r="K448" s="12" t="str">
        <f>IFERROR(__xludf.DUMMYFUNCTION("TEXTJOIN("""",TRUE, REGEXEXTRACT(J448, ""\d+""),""-"",LEFT(C448,3),""-"",LEFT(D448),""-"",LEFT(E448,2),LEFT(F448,2), ""-R"",REGEXEXTRACT(H448, ""\d+"") )"),"75-Per-L-1613-R1")</f>
        <v>75-Per-L-1613-R1</v>
      </c>
      <c r="L448" s="8" t="s">
        <v>24</v>
      </c>
      <c r="M448" s="13">
        <v>3.0</v>
      </c>
      <c r="N448" s="14">
        <v>1.23</v>
      </c>
      <c r="O448" s="15">
        <f>SUM(N446:N451)</f>
        <v>7.24</v>
      </c>
      <c r="P448" s="16">
        <f t="shared" si="2"/>
        <v>4.614404079</v>
      </c>
    </row>
    <row r="449">
      <c r="A449" s="17"/>
      <c r="B449" s="18"/>
      <c r="C449" s="22" t="s">
        <v>50</v>
      </c>
      <c r="D449" s="23" t="s">
        <v>17</v>
      </c>
      <c r="E449" s="24" t="s">
        <v>18</v>
      </c>
      <c r="F449" s="40" t="s">
        <v>19</v>
      </c>
      <c r="G449" s="26" t="str">
        <f t="shared" si="1"/>
        <v>16O_13C</v>
      </c>
      <c r="H449" s="27" t="s">
        <v>20</v>
      </c>
      <c r="I449" s="10">
        <v>75.0</v>
      </c>
      <c r="J449" s="11" t="s">
        <v>112</v>
      </c>
      <c r="K449" s="12" t="str">
        <f>IFERROR(__xludf.DUMMYFUNCTION("TEXTJOIN("""",TRUE, REGEXEXTRACT(J449, ""\d+""),""-"",LEFT(C449,3),""-"",LEFT(D449),""-"",LEFT(E449,2),LEFT(F449,2), ""-R"",REGEXEXTRACT(H449, ""\d+"") )"),"75-Per-L-1613-R1")</f>
        <v>75-Per-L-1613-R1</v>
      </c>
      <c r="L449" s="8" t="s">
        <v>25</v>
      </c>
      <c r="M449" s="13">
        <v>4.0</v>
      </c>
      <c r="N449" s="14">
        <v>1.15</v>
      </c>
      <c r="O449" s="19">
        <f>SUM(N446:N451)</f>
        <v>7.24</v>
      </c>
      <c r="P449" s="20">
        <f t="shared" si="2"/>
        <v>4.614404079</v>
      </c>
    </row>
    <row r="450">
      <c r="A450" s="6"/>
      <c r="B450" s="21"/>
      <c r="C450" s="22" t="s">
        <v>50</v>
      </c>
      <c r="D450" s="23" t="s">
        <v>17</v>
      </c>
      <c r="E450" s="24" t="s">
        <v>18</v>
      </c>
      <c r="F450" s="40" t="s">
        <v>19</v>
      </c>
      <c r="G450" s="26" t="str">
        <f t="shared" si="1"/>
        <v>16O_13C</v>
      </c>
      <c r="H450" s="27" t="s">
        <v>20</v>
      </c>
      <c r="I450" s="10">
        <v>75.0</v>
      </c>
      <c r="J450" s="11" t="s">
        <v>112</v>
      </c>
      <c r="K450" s="12" t="str">
        <f>IFERROR(__xludf.DUMMYFUNCTION("TEXTJOIN("""",TRUE, REGEXEXTRACT(J450, ""\d+""),""-"",LEFT(C450,3),""-"",LEFT(D450),""-"",LEFT(E450,2),LEFT(F450,2), ""-R"",REGEXEXTRACT(H450, ""\d+"") )"),"75-Per-L-1613-R1")</f>
        <v>75-Per-L-1613-R1</v>
      </c>
      <c r="L450" s="8" t="s">
        <v>26</v>
      </c>
      <c r="M450" s="13">
        <v>5.0</v>
      </c>
      <c r="N450" s="14">
        <f>2.41-1.15</f>
        <v>1.26</v>
      </c>
      <c r="O450" s="15">
        <f>SUM(N446:N451)</f>
        <v>7.24</v>
      </c>
      <c r="P450" s="16">
        <f t="shared" si="2"/>
        <v>4.614404079</v>
      </c>
    </row>
    <row r="451">
      <c r="A451" s="17"/>
      <c r="B451" s="18"/>
      <c r="C451" s="22" t="s">
        <v>50</v>
      </c>
      <c r="D451" s="23" t="s">
        <v>17</v>
      </c>
      <c r="E451" s="24" t="s">
        <v>18</v>
      </c>
      <c r="F451" s="40" t="s">
        <v>19</v>
      </c>
      <c r="G451" s="26" t="str">
        <f t="shared" si="1"/>
        <v>16O_13C</v>
      </c>
      <c r="H451" s="27" t="s">
        <v>20</v>
      </c>
      <c r="I451" s="10">
        <v>75.0</v>
      </c>
      <c r="J451" s="11" t="s">
        <v>112</v>
      </c>
      <c r="K451" s="12" t="str">
        <f>IFERROR(__xludf.DUMMYFUNCTION("TEXTJOIN("""",TRUE, REGEXEXTRACT(J451, ""\d+""),""-"",LEFT(C451,3),""-"",LEFT(D451),""-"",LEFT(E451,2),LEFT(F451,2), ""-R"",REGEXEXTRACT(H451, ""\d+"") )"),"75-Per-L-1613-R1")</f>
        <v>75-Per-L-1613-R1</v>
      </c>
      <c r="L451" s="8" t="s">
        <v>27</v>
      </c>
      <c r="M451" s="13">
        <v>6.0</v>
      </c>
      <c r="N451" s="14">
        <v>1.18</v>
      </c>
      <c r="O451" s="19">
        <f>SUM(N446:N451)</f>
        <v>7.24</v>
      </c>
      <c r="P451" s="20">
        <f t="shared" si="2"/>
        <v>4.614404079</v>
      </c>
    </row>
    <row r="452">
      <c r="A452" s="6"/>
      <c r="B452" s="21"/>
      <c r="C452" s="50" t="s">
        <v>50</v>
      </c>
      <c r="D452" s="32" t="s">
        <v>32</v>
      </c>
      <c r="E452" s="29" t="s">
        <v>18</v>
      </c>
      <c r="F452" s="29" t="s">
        <v>28</v>
      </c>
      <c r="G452" s="30" t="str">
        <f t="shared" si="1"/>
        <v>16O_12C</v>
      </c>
      <c r="H452" s="45" t="s">
        <v>94</v>
      </c>
      <c r="I452" s="10">
        <v>76.0</v>
      </c>
      <c r="J452" s="11" t="s">
        <v>113</v>
      </c>
      <c r="K452" s="12" t="str">
        <f>IFERROR(__xludf.DUMMYFUNCTION("TEXTJOIN("""",TRUE, REGEXEXTRACT(J452, ""\d+""),""-"",LEFT(C452,3),""-"",LEFT(D452),""-"",LEFT(E452,2),LEFT(F452,2), ""-R"",REGEXEXTRACT(H452, ""\d+"") )"),"76-Per-E-1612-R4")</f>
        <v>76-Per-E-1612-R4</v>
      </c>
      <c r="L452" s="8" t="s">
        <v>22</v>
      </c>
      <c r="M452" s="13">
        <v>1.0</v>
      </c>
      <c r="N452" s="14">
        <v>1.65</v>
      </c>
      <c r="O452" s="15">
        <f>SUM(N452:N457)</f>
        <v>11.43</v>
      </c>
      <c r="P452" s="16">
        <f t="shared" si="2"/>
        <v>7.284894837</v>
      </c>
    </row>
    <row r="453">
      <c r="A453" s="17"/>
      <c r="B453" s="18"/>
      <c r="C453" s="50" t="s">
        <v>50</v>
      </c>
      <c r="D453" s="32" t="s">
        <v>32</v>
      </c>
      <c r="E453" s="29" t="s">
        <v>18</v>
      </c>
      <c r="F453" s="29" t="s">
        <v>28</v>
      </c>
      <c r="G453" s="30" t="str">
        <f t="shared" si="1"/>
        <v>16O_12C</v>
      </c>
      <c r="H453" s="45" t="s">
        <v>94</v>
      </c>
      <c r="I453" s="10">
        <v>76.0</v>
      </c>
      <c r="J453" s="11" t="s">
        <v>113</v>
      </c>
      <c r="K453" s="12" t="str">
        <f>IFERROR(__xludf.DUMMYFUNCTION("TEXTJOIN("""",TRUE, REGEXEXTRACT(J453, ""\d+""),""-"",LEFT(C453,3),""-"",LEFT(D453),""-"",LEFT(E453,2),LEFT(F453,2), ""-R"",REGEXEXTRACT(H453, ""\d+"") )"),"76-Per-E-1612-R4")</f>
        <v>76-Per-E-1612-R4</v>
      </c>
      <c r="L453" s="8" t="s">
        <v>23</v>
      </c>
      <c r="M453" s="13">
        <v>2.0</v>
      </c>
      <c r="N453" s="14">
        <v>1.64</v>
      </c>
      <c r="O453" s="19">
        <f>SUM(N452:N457)</f>
        <v>11.43</v>
      </c>
      <c r="P453" s="20">
        <f t="shared" si="2"/>
        <v>7.284894837</v>
      </c>
    </row>
    <row r="454">
      <c r="A454" s="6"/>
      <c r="B454" s="21"/>
      <c r="C454" s="50" t="s">
        <v>50</v>
      </c>
      <c r="D454" s="32" t="s">
        <v>32</v>
      </c>
      <c r="E454" s="29" t="s">
        <v>18</v>
      </c>
      <c r="F454" s="29" t="s">
        <v>28</v>
      </c>
      <c r="G454" s="30" t="str">
        <f t="shared" si="1"/>
        <v>16O_12C</v>
      </c>
      <c r="H454" s="45" t="s">
        <v>94</v>
      </c>
      <c r="I454" s="10">
        <v>76.0</v>
      </c>
      <c r="J454" s="11" t="s">
        <v>113</v>
      </c>
      <c r="K454" s="12" t="str">
        <f>IFERROR(__xludf.DUMMYFUNCTION("TEXTJOIN("""",TRUE, REGEXEXTRACT(J454, ""\d+""),""-"",LEFT(C454,3),""-"",LEFT(D454),""-"",LEFT(E454,2),LEFT(F454,2), ""-R"",REGEXEXTRACT(H454, ""\d+"") )"),"76-Per-E-1612-R4")</f>
        <v>76-Per-E-1612-R4</v>
      </c>
      <c r="L454" s="8" t="s">
        <v>24</v>
      </c>
      <c r="M454" s="13">
        <v>3.0</v>
      </c>
      <c r="N454" s="14">
        <v>2.09</v>
      </c>
      <c r="O454" s="15">
        <f>SUM(N452:N457)</f>
        <v>11.43</v>
      </c>
      <c r="P454" s="16">
        <f t="shared" si="2"/>
        <v>7.284894837</v>
      </c>
    </row>
    <row r="455">
      <c r="A455" s="17"/>
      <c r="B455" s="18"/>
      <c r="C455" s="50" t="s">
        <v>50</v>
      </c>
      <c r="D455" s="32" t="s">
        <v>32</v>
      </c>
      <c r="E455" s="29" t="s">
        <v>18</v>
      </c>
      <c r="F455" s="29" t="s">
        <v>28</v>
      </c>
      <c r="G455" s="30" t="str">
        <f t="shared" si="1"/>
        <v>16O_12C</v>
      </c>
      <c r="H455" s="45" t="s">
        <v>94</v>
      </c>
      <c r="I455" s="10">
        <v>76.0</v>
      </c>
      <c r="J455" s="11" t="s">
        <v>113</v>
      </c>
      <c r="K455" s="12" t="str">
        <f>IFERROR(__xludf.DUMMYFUNCTION("TEXTJOIN("""",TRUE, REGEXEXTRACT(J455, ""\d+""),""-"",LEFT(C455,3),""-"",LEFT(D455),""-"",LEFT(E455,2),LEFT(F455,2), ""-R"",REGEXEXTRACT(H455, ""\d+"") )"),"76-Per-E-1612-R4")</f>
        <v>76-Per-E-1612-R4</v>
      </c>
      <c r="L455" s="8" t="s">
        <v>25</v>
      </c>
      <c r="M455" s="13">
        <v>4.0</v>
      </c>
      <c r="N455" s="14">
        <v>2.04</v>
      </c>
      <c r="O455" s="19">
        <f>SUM(N452:N457)</f>
        <v>11.43</v>
      </c>
      <c r="P455" s="20">
        <f t="shared" si="2"/>
        <v>7.284894837</v>
      </c>
    </row>
    <row r="456">
      <c r="A456" s="6"/>
      <c r="B456" s="21"/>
      <c r="C456" s="50" t="s">
        <v>50</v>
      </c>
      <c r="D456" s="32" t="s">
        <v>32</v>
      </c>
      <c r="E456" s="29" t="s">
        <v>18</v>
      </c>
      <c r="F456" s="29" t="s">
        <v>28</v>
      </c>
      <c r="G456" s="30" t="str">
        <f t="shared" si="1"/>
        <v>16O_12C</v>
      </c>
      <c r="H456" s="45" t="s">
        <v>94</v>
      </c>
      <c r="I456" s="10">
        <v>76.0</v>
      </c>
      <c r="J456" s="11" t="s">
        <v>113</v>
      </c>
      <c r="K456" s="12" t="str">
        <f>IFERROR(__xludf.DUMMYFUNCTION("TEXTJOIN("""",TRUE, REGEXEXTRACT(J456, ""\d+""),""-"",LEFT(C456,3),""-"",LEFT(D456),""-"",LEFT(E456,2),LEFT(F456,2), ""-R"",REGEXEXTRACT(H456, ""\d+"") )"),"76-Per-E-1612-R4")</f>
        <v>76-Per-E-1612-R4</v>
      </c>
      <c r="L456" s="8" t="s">
        <v>26</v>
      </c>
      <c r="M456" s="13">
        <v>5.0</v>
      </c>
      <c r="N456" s="14">
        <v>1.95</v>
      </c>
      <c r="O456" s="15">
        <f>SUM(N452:N457)</f>
        <v>11.43</v>
      </c>
      <c r="P456" s="16">
        <f t="shared" si="2"/>
        <v>7.284894837</v>
      </c>
    </row>
    <row r="457">
      <c r="A457" s="17"/>
      <c r="B457" s="18"/>
      <c r="C457" s="50" t="s">
        <v>50</v>
      </c>
      <c r="D457" s="32" t="s">
        <v>32</v>
      </c>
      <c r="E457" s="29" t="s">
        <v>18</v>
      </c>
      <c r="F457" s="29" t="s">
        <v>28</v>
      </c>
      <c r="G457" s="30" t="str">
        <f t="shared" si="1"/>
        <v>16O_12C</v>
      </c>
      <c r="H457" s="45" t="s">
        <v>94</v>
      </c>
      <c r="I457" s="10">
        <v>76.0</v>
      </c>
      <c r="J457" s="11" t="s">
        <v>113</v>
      </c>
      <c r="K457" s="12" t="str">
        <f>IFERROR(__xludf.DUMMYFUNCTION("TEXTJOIN("""",TRUE, REGEXEXTRACT(J457, ""\d+""),""-"",LEFT(C457,3),""-"",LEFT(D457),""-"",LEFT(E457,2),LEFT(F457,2), ""-R"",REGEXEXTRACT(H457, ""\d+"") )"),"76-Per-E-1612-R4")</f>
        <v>76-Per-E-1612-R4</v>
      </c>
      <c r="L457" s="8" t="s">
        <v>27</v>
      </c>
      <c r="M457" s="13">
        <v>6.0</v>
      </c>
      <c r="N457" s="14">
        <v>2.06</v>
      </c>
      <c r="O457" s="19">
        <f>SUM(N452:N457)</f>
        <v>11.43</v>
      </c>
      <c r="P457" s="20">
        <f t="shared" si="2"/>
        <v>7.284894837</v>
      </c>
    </row>
    <row r="458">
      <c r="A458" s="6"/>
      <c r="B458" s="21"/>
      <c r="C458" s="49" t="s">
        <v>50</v>
      </c>
      <c r="D458" s="23" t="s">
        <v>17</v>
      </c>
      <c r="E458" s="24" t="s">
        <v>18</v>
      </c>
      <c r="F458" s="40" t="s">
        <v>19</v>
      </c>
      <c r="G458" s="26" t="str">
        <f t="shared" si="1"/>
        <v>16O_13C</v>
      </c>
      <c r="H458" s="45" t="s">
        <v>54</v>
      </c>
      <c r="I458" s="10">
        <v>77.0</v>
      </c>
      <c r="J458" s="11" t="s">
        <v>114</v>
      </c>
      <c r="K458" s="12" t="str">
        <f>IFERROR(__xludf.DUMMYFUNCTION("TEXTJOIN("""",TRUE, REGEXEXTRACT(J458, ""\d+""),""-"",LEFT(C458,3),""-"",LEFT(D458),""-"",LEFT(E458,2),LEFT(F458,2), ""-R"",REGEXEXTRACT(H458, ""\d+"") )"),"77-Per-L-1613-R2")</f>
        <v>77-Per-L-1613-R2</v>
      </c>
      <c r="L458" s="8" t="s">
        <v>22</v>
      </c>
      <c r="M458" s="13">
        <v>1.0</v>
      </c>
      <c r="N458" s="14">
        <v>2.03</v>
      </c>
      <c r="O458" s="15">
        <f>SUM(N458:N463)</f>
        <v>12.16</v>
      </c>
      <c r="P458" s="16">
        <f t="shared" si="2"/>
        <v>7.750159337</v>
      </c>
    </row>
    <row r="459">
      <c r="A459" s="17"/>
      <c r="B459" s="18"/>
      <c r="C459" s="49" t="s">
        <v>50</v>
      </c>
      <c r="D459" s="23" t="s">
        <v>17</v>
      </c>
      <c r="E459" s="24" t="s">
        <v>18</v>
      </c>
      <c r="F459" s="40" t="s">
        <v>19</v>
      </c>
      <c r="G459" s="26" t="str">
        <f t="shared" si="1"/>
        <v>16O_13C</v>
      </c>
      <c r="H459" s="45" t="s">
        <v>54</v>
      </c>
      <c r="I459" s="10">
        <v>77.0</v>
      </c>
      <c r="J459" s="11" t="s">
        <v>114</v>
      </c>
      <c r="K459" s="12" t="str">
        <f>IFERROR(__xludf.DUMMYFUNCTION("TEXTJOIN("""",TRUE, REGEXEXTRACT(J459, ""\d+""),""-"",LEFT(C459,3),""-"",LEFT(D459),""-"",LEFT(E459,2),LEFT(F459,2), ""-R"",REGEXEXTRACT(H459, ""\d+"") )"),"77-Per-L-1613-R2")</f>
        <v>77-Per-L-1613-R2</v>
      </c>
      <c r="L459" s="8" t="s">
        <v>23</v>
      </c>
      <c r="M459" s="13">
        <v>2.0</v>
      </c>
      <c r="N459" s="14">
        <v>2.02</v>
      </c>
      <c r="O459" s="19">
        <f>SUM(N458:N463)</f>
        <v>12.16</v>
      </c>
      <c r="P459" s="20">
        <f t="shared" si="2"/>
        <v>7.750159337</v>
      </c>
    </row>
    <row r="460">
      <c r="A460" s="6"/>
      <c r="B460" s="21"/>
      <c r="C460" s="49" t="s">
        <v>50</v>
      </c>
      <c r="D460" s="23" t="s">
        <v>17</v>
      </c>
      <c r="E460" s="24" t="s">
        <v>18</v>
      </c>
      <c r="F460" s="40" t="s">
        <v>19</v>
      </c>
      <c r="G460" s="26" t="str">
        <f t="shared" si="1"/>
        <v>16O_13C</v>
      </c>
      <c r="H460" s="45" t="s">
        <v>54</v>
      </c>
      <c r="I460" s="10">
        <v>77.0</v>
      </c>
      <c r="J460" s="11" t="s">
        <v>114</v>
      </c>
      <c r="K460" s="12" t="str">
        <f>IFERROR(__xludf.DUMMYFUNCTION("TEXTJOIN("""",TRUE, REGEXEXTRACT(J460, ""\d+""),""-"",LEFT(C460,3),""-"",LEFT(D460),""-"",LEFT(E460,2),LEFT(F460,2), ""-R"",REGEXEXTRACT(H460, ""\d+"") )"),"77-Per-L-1613-R2")</f>
        <v>77-Per-L-1613-R2</v>
      </c>
      <c r="L460" s="8" t="s">
        <v>24</v>
      </c>
      <c r="M460" s="13">
        <v>3.0</v>
      </c>
      <c r="N460" s="14">
        <v>2.06</v>
      </c>
      <c r="O460" s="15">
        <f>SUM(N458:N463)</f>
        <v>12.16</v>
      </c>
      <c r="P460" s="16">
        <f t="shared" si="2"/>
        <v>7.750159337</v>
      </c>
    </row>
    <row r="461">
      <c r="A461" s="17"/>
      <c r="B461" s="18"/>
      <c r="C461" s="49" t="s">
        <v>50</v>
      </c>
      <c r="D461" s="23" t="s">
        <v>17</v>
      </c>
      <c r="E461" s="24" t="s">
        <v>18</v>
      </c>
      <c r="F461" s="40" t="s">
        <v>19</v>
      </c>
      <c r="G461" s="26" t="str">
        <f t="shared" si="1"/>
        <v>16O_13C</v>
      </c>
      <c r="H461" s="45" t="s">
        <v>54</v>
      </c>
      <c r="I461" s="10">
        <v>77.0</v>
      </c>
      <c r="J461" s="11" t="s">
        <v>114</v>
      </c>
      <c r="K461" s="12" t="str">
        <f>IFERROR(__xludf.DUMMYFUNCTION("TEXTJOIN("""",TRUE, REGEXEXTRACT(J461, ""\d+""),""-"",LEFT(C461,3),""-"",LEFT(D461),""-"",LEFT(E461,2),LEFT(F461,2), ""-R"",REGEXEXTRACT(H461, ""\d+"") )"),"77-Per-L-1613-R2")</f>
        <v>77-Per-L-1613-R2</v>
      </c>
      <c r="L461" s="8" t="s">
        <v>25</v>
      </c>
      <c r="M461" s="13">
        <v>4.0</v>
      </c>
      <c r="N461" s="14">
        <v>1.91</v>
      </c>
      <c r="O461" s="19">
        <f>SUM(N458:N463)</f>
        <v>12.16</v>
      </c>
      <c r="P461" s="20">
        <f t="shared" si="2"/>
        <v>7.750159337</v>
      </c>
    </row>
    <row r="462">
      <c r="A462" s="6"/>
      <c r="B462" s="21"/>
      <c r="C462" s="49" t="s">
        <v>50</v>
      </c>
      <c r="D462" s="23" t="s">
        <v>17</v>
      </c>
      <c r="E462" s="24" t="s">
        <v>18</v>
      </c>
      <c r="F462" s="40" t="s">
        <v>19</v>
      </c>
      <c r="G462" s="26" t="str">
        <f t="shared" si="1"/>
        <v>16O_13C</v>
      </c>
      <c r="H462" s="45" t="s">
        <v>54</v>
      </c>
      <c r="I462" s="10">
        <v>77.0</v>
      </c>
      <c r="J462" s="11" t="s">
        <v>114</v>
      </c>
      <c r="K462" s="12" t="str">
        <f>IFERROR(__xludf.DUMMYFUNCTION("TEXTJOIN("""",TRUE, REGEXEXTRACT(J462, ""\d+""),""-"",LEFT(C462,3),""-"",LEFT(D462),""-"",LEFT(E462,2),LEFT(F462,2), ""-R"",REGEXEXTRACT(H462, ""\d+"") )"),"77-Per-L-1613-R2")</f>
        <v>77-Per-L-1613-R2</v>
      </c>
      <c r="L462" s="8" t="s">
        <v>26</v>
      </c>
      <c r="M462" s="13">
        <v>5.0</v>
      </c>
      <c r="N462" s="14">
        <v>2.05</v>
      </c>
      <c r="O462" s="15">
        <f>SUM(N458:N463)</f>
        <v>12.16</v>
      </c>
      <c r="P462" s="16">
        <f t="shared" si="2"/>
        <v>7.750159337</v>
      </c>
    </row>
    <row r="463">
      <c r="A463" s="17"/>
      <c r="B463" s="18"/>
      <c r="C463" s="49" t="s">
        <v>50</v>
      </c>
      <c r="D463" s="23" t="s">
        <v>17</v>
      </c>
      <c r="E463" s="24" t="s">
        <v>18</v>
      </c>
      <c r="F463" s="40" t="s">
        <v>19</v>
      </c>
      <c r="G463" s="26" t="str">
        <f t="shared" si="1"/>
        <v>16O_13C</v>
      </c>
      <c r="H463" s="45" t="s">
        <v>54</v>
      </c>
      <c r="I463" s="10">
        <v>77.0</v>
      </c>
      <c r="J463" s="11" t="s">
        <v>114</v>
      </c>
      <c r="K463" s="12" t="str">
        <f>IFERROR(__xludf.DUMMYFUNCTION("TEXTJOIN("""",TRUE, REGEXEXTRACT(J463, ""\d+""),""-"",LEFT(C463,3),""-"",LEFT(D463),""-"",LEFT(E463,2),LEFT(F463,2), ""-R"",REGEXEXTRACT(H463, ""\d+"") )"),"77-Per-L-1613-R2")</f>
        <v>77-Per-L-1613-R2</v>
      </c>
      <c r="L463" s="8" t="s">
        <v>27</v>
      </c>
      <c r="M463" s="13">
        <v>6.0</v>
      </c>
      <c r="N463" s="14">
        <v>2.09</v>
      </c>
      <c r="O463" s="19">
        <f>SUM(N458:N463)</f>
        <v>12.16</v>
      </c>
      <c r="P463" s="20">
        <f t="shared" si="2"/>
        <v>7.750159337</v>
      </c>
    </row>
    <row r="464">
      <c r="A464" s="6"/>
      <c r="B464" s="21"/>
      <c r="C464" s="49" t="s">
        <v>50</v>
      </c>
      <c r="D464" s="36" t="s">
        <v>36</v>
      </c>
      <c r="E464" s="24" t="s">
        <v>18</v>
      </c>
      <c r="F464" s="24" t="s">
        <v>37</v>
      </c>
      <c r="G464" s="26" t="str">
        <f t="shared" si="1"/>
        <v>16O_No C</v>
      </c>
      <c r="H464" s="45" t="s">
        <v>94</v>
      </c>
      <c r="I464" s="10">
        <v>78.0</v>
      </c>
      <c r="J464" s="11" t="s">
        <v>115</v>
      </c>
      <c r="K464" s="12" t="str">
        <f>IFERROR(__xludf.DUMMYFUNCTION("TEXTJOIN("""",TRUE, REGEXEXTRACT(J464, ""\d+""),""-"",LEFT(C464,3),""-"",LEFT(D464),""-"",LEFT(E464,2),LEFT(F464,2), ""-R"",REGEXEXTRACT(H464, ""\d+"") )"),"78-Per-N-16No-R4")</f>
        <v>78-Per-N-16No-R4</v>
      </c>
      <c r="L464" s="8" t="s">
        <v>22</v>
      </c>
      <c r="M464" s="13">
        <v>1.0</v>
      </c>
      <c r="N464" s="14">
        <v>1.75</v>
      </c>
      <c r="O464" s="15">
        <f>SUM(N464:N469)</f>
        <v>11.08</v>
      </c>
      <c r="P464" s="16">
        <f t="shared" si="2"/>
        <v>7.061822817</v>
      </c>
    </row>
    <row r="465">
      <c r="A465" s="17"/>
      <c r="B465" s="18"/>
      <c r="C465" s="49" t="s">
        <v>50</v>
      </c>
      <c r="D465" s="36" t="s">
        <v>36</v>
      </c>
      <c r="E465" s="24" t="s">
        <v>18</v>
      </c>
      <c r="F465" s="24" t="s">
        <v>37</v>
      </c>
      <c r="G465" s="26" t="str">
        <f t="shared" si="1"/>
        <v>16O_No C</v>
      </c>
      <c r="H465" s="45" t="s">
        <v>94</v>
      </c>
      <c r="I465" s="10">
        <v>78.0</v>
      </c>
      <c r="J465" s="11" t="s">
        <v>115</v>
      </c>
      <c r="K465" s="12" t="str">
        <f>IFERROR(__xludf.DUMMYFUNCTION("TEXTJOIN("""",TRUE, REGEXEXTRACT(J465, ""\d+""),""-"",LEFT(C465,3),""-"",LEFT(D465),""-"",LEFT(E465,2),LEFT(F465,2), ""-R"",REGEXEXTRACT(H465, ""\d+"") )"),"78-Per-N-16No-R4")</f>
        <v>78-Per-N-16No-R4</v>
      </c>
      <c r="L465" s="8" t="s">
        <v>23</v>
      </c>
      <c r="M465" s="13">
        <v>2.0</v>
      </c>
      <c r="N465" s="14">
        <v>1.76</v>
      </c>
      <c r="O465" s="19">
        <f>SUM(N464:N469)</f>
        <v>11.08</v>
      </c>
      <c r="P465" s="20">
        <f t="shared" si="2"/>
        <v>7.061822817</v>
      </c>
    </row>
    <row r="466">
      <c r="A466" s="6"/>
      <c r="B466" s="21"/>
      <c r="C466" s="49" t="s">
        <v>50</v>
      </c>
      <c r="D466" s="36" t="s">
        <v>36</v>
      </c>
      <c r="E466" s="24" t="s">
        <v>18</v>
      </c>
      <c r="F466" s="24" t="s">
        <v>37</v>
      </c>
      <c r="G466" s="26" t="str">
        <f t="shared" si="1"/>
        <v>16O_No C</v>
      </c>
      <c r="H466" s="45" t="s">
        <v>94</v>
      </c>
      <c r="I466" s="10">
        <v>78.0</v>
      </c>
      <c r="J466" s="11" t="s">
        <v>115</v>
      </c>
      <c r="K466" s="12" t="str">
        <f>IFERROR(__xludf.DUMMYFUNCTION("TEXTJOIN("""",TRUE, REGEXEXTRACT(J466, ""\d+""),""-"",LEFT(C466,3),""-"",LEFT(D466),""-"",LEFT(E466,2),LEFT(F466,2), ""-R"",REGEXEXTRACT(H466, ""\d+"") )"),"78-Per-N-16No-R4")</f>
        <v>78-Per-N-16No-R4</v>
      </c>
      <c r="L466" s="8" t="s">
        <v>24</v>
      </c>
      <c r="M466" s="13">
        <v>3.0</v>
      </c>
      <c r="N466" s="14">
        <v>1.8</v>
      </c>
      <c r="O466" s="15">
        <f>SUM(N464:N469)</f>
        <v>11.08</v>
      </c>
      <c r="P466" s="16">
        <f t="shared" si="2"/>
        <v>7.061822817</v>
      </c>
    </row>
    <row r="467">
      <c r="A467" s="17"/>
      <c r="B467" s="18"/>
      <c r="C467" s="49" t="s">
        <v>50</v>
      </c>
      <c r="D467" s="36" t="s">
        <v>36</v>
      </c>
      <c r="E467" s="24" t="s">
        <v>18</v>
      </c>
      <c r="F467" s="24" t="s">
        <v>37</v>
      </c>
      <c r="G467" s="26" t="str">
        <f t="shared" si="1"/>
        <v>16O_No C</v>
      </c>
      <c r="H467" s="45" t="s">
        <v>94</v>
      </c>
      <c r="I467" s="10">
        <v>78.0</v>
      </c>
      <c r="J467" s="11" t="s">
        <v>115</v>
      </c>
      <c r="K467" s="12" t="str">
        <f>IFERROR(__xludf.DUMMYFUNCTION("TEXTJOIN("""",TRUE, REGEXEXTRACT(J467, ""\d+""),""-"",LEFT(C467,3),""-"",LEFT(D467),""-"",LEFT(E467,2),LEFT(F467,2), ""-R"",REGEXEXTRACT(H467, ""\d+"") )"),"78-Per-N-16No-R4")</f>
        <v>78-Per-N-16No-R4</v>
      </c>
      <c r="L467" s="8" t="s">
        <v>25</v>
      </c>
      <c r="M467" s="13">
        <v>4.0</v>
      </c>
      <c r="N467" s="14">
        <v>2.0</v>
      </c>
      <c r="O467" s="19">
        <f>SUM(N464:N469)</f>
        <v>11.08</v>
      </c>
      <c r="P467" s="20">
        <f t="shared" si="2"/>
        <v>7.061822817</v>
      </c>
    </row>
    <row r="468">
      <c r="A468" s="6"/>
      <c r="B468" s="21"/>
      <c r="C468" s="49" t="s">
        <v>50</v>
      </c>
      <c r="D468" s="36" t="s">
        <v>36</v>
      </c>
      <c r="E468" s="24" t="s">
        <v>18</v>
      </c>
      <c r="F468" s="24" t="s">
        <v>37</v>
      </c>
      <c r="G468" s="26" t="str">
        <f t="shared" si="1"/>
        <v>16O_No C</v>
      </c>
      <c r="H468" s="45" t="s">
        <v>94</v>
      </c>
      <c r="I468" s="10">
        <v>78.0</v>
      </c>
      <c r="J468" s="11" t="s">
        <v>115</v>
      </c>
      <c r="K468" s="12" t="str">
        <f>IFERROR(__xludf.DUMMYFUNCTION("TEXTJOIN("""",TRUE, REGEXEXTRACT(J468, ""\d+""),""-"",LEFT(C468,3),""-"",LEFT(D468),""-"",LEFT(E468,2),LEFT(F468,2), ""-R"",REGEXEXTRACT(H468, ""\d+"") )"),"78-Per-N-16No-R4")</f>
        <v>78-Per-N-16No-R4</v>
      </c>
      <c r="L468" s="8" t="s">
        <v>26</v>
      </c>
      <c r="M468" s="13">
        <v>5.0</v>
      </c>
      <c r="N468" s="14">
        <v>2.0</v>
      </c>
      <c r="O468" s="15">
        <f>SUM(N464:N469)</f>
        <v>11.08</v>
      </c>
      <c r="P468" s="16">
        <f t="shared" si="2"/>
        <v>7.061822817</v>
      </c>
    </row>
    <row r="469">
      <c r="A469" s="17"/>
      <c r="B469" s="18"/>
      <c r="C469" s="49" t="s">
        <v>50</v>
      </c>
      <c r="D469" s="36" t="s">
        <v>36</v>
      </c>
      <c r="E469" s="24" t="s">
        <v>18</v>
      </c>
      <c r="F469" s="24" t="s">
        <v>37</v>
      </c>
      <c r="G469" s="26" t="str">
        <f t="shared" si="1"/>
        <v>16O_No C</v>
      </c>
      <c r="H469" s="45" t="s">
        <v>94</v>
      </c>
      <c r="I469" s="10">
        <v>78.0</v>
      </c>
      <c r="J469" s="11" t="s">
        <v>115</v>
      </c>
      <c r="K469" s="12" t="str">
        <f>IFERROR(__xludf.DUMMYFUNCTION("TEXTJOIN("""",TRUE, REGEXEXTRACT(J469, ""\d+""),""-"",LEFT(C469,3),""-"",LEFT(D469),""-"",LEFT(E469,2),LEFT(F469,2), ""-R"",REGEXEXTRACT(H469, ""\d+"") )"),"78-Per-N-16No-R4")</f>
        <v>78-Per-N-16No-R4</v>
      </c>
      <c r="L469" s="8" t="s">
        <v>27</v>
      </c>
      <c r="M469" s="13">
        <v>6.0</v>
      </c>
      <c r="N469" s="14">
        <v>1.77</v>
      </c>
      <c r="O469" s="19">
        <f>SUM(N464:N469)</f>
        <v>11.08</v>
      </c>
      <c r="P469" s="20">
        <f t="shared" si="2"/>
        <v>7.061822817</v>
      </c>
    </row>
    <row r="470">
      <c r="A470" s="6"/>
      <c r="B470" s="21"/>
      <c r="C470" s="49" t="s">
        <v>50</v>
      </c>
      <c r="D470" s="23" t="s">
        <v>17</v>
      </c>
      <c r="E470" s="24" t="s">
        <v>18</v>
      </c>
      <c r="F470" s="40" t="s">
        <v>19</v>
      </c>
      <c r="G470" s="26" t="str">
        <f t="shared" si="1"/>
        <v>16O_13C</v>
      </c>
      <c r="H470" s="45" t="s">
        <v>74</v>
      </c>
      <c r="I470" s="10">
        <v>79.0</v>
      </c>
      <c r="J470" s="11" t="s">
        <v>116</v>
      </c>
      <c r="K470" s="12" t="str">
        <f>IFERROR(__xludf.DUMMYFUNCTION("TEXTJOIN("""",TRUE, REGEXEXTRACT(J470, ""\d+""),""-"",LEFT(C470,3),""-"",LEFT(D470),""-"",LEFT(E470,2),LEFT(F470,2), ""-R"",REGEXEXTRACT(H470, ""\d+"") )"),"79-Per-L-1613-R3")</f>
        <v>79-Per-L-1613-R3</v>
      </c>
      <c r="L470" s="8" t="s">
        <v>22</v>
      </c>
      <c r="M470" s="13">
        <v>1.0</v>
      </c>
      <c r="N470" s="14">
        <v>1.15</v>
      </c>
      <c r="O470" s="15">
        <f>SUM(N470:N475)</f>
        <v>7.12</v>
      </c>
      <c r="P470" s="16">
        <f t="shared" si="2"/>
        <v>4.537922243</v>
      </c>
    </row>
    <row r="471">
      <c r="A471" s="17"/>
      <c r="B471" s="18"/>
      <c r="C471" s="49" t="s">
        <v>50</v>
      </c>
      <c r="D471" s="23" t="s">
        <v>17</v>
      </c>
      <c r="E471" s="24" t="s">
        <v>18</v>
      </c>
      <c r="F471" s="40" t="s">
        <v>19</v>
      </c>
      <c r="G471" s="26" t="str">
        <f t="shared" si="1"/>
        <v>16O_13C</v>
      </c>
      <c r="H471" s="45" t="s">
        <v>74</v>
      </c>
      <c r="I471" s="10">
        <v>79.0</v>
      </c>
      <c r="J471" s="11" t="s">
        <v>116</v>
      </c>
      <c r="K471" s="12" t="str">
        <f>IFERROR(__xludf.DUMMYFUNCTION("TEXTJOIN("""",TRUE, REGEXEXTRACT(J471, ""\d+""),""-"",LEFT(C471,3),""-"",LEFT(D471),""-"",LEFT(E471,2),LEFT(F471,2), ""-R"",REGEXEXTRACT(H471, ""\d+"") )"),"79-Per-L-1613-R3")</f>
        <v>79-Per-L-1613-R3</v>
      </c>
      <c r="L471" s="8" t="s">
        <v>23</v>
      </c>
      <c r="M471" s="13">
        <v>2.0</v>
      </c>
      <c r="N471" s="14">
        <v>1.27</v>
      </c>
      <c r="O471" s="19">
        <f>SUM(N470:N475)</f>
        <v>7.12</v>
      </c>
      <c r="P471" s="20">
        <f t="shared" si="2"/>
        <v>4.537922243</v>
      </c>
    </row>
    <row r="472">
      <c r="A472" s="6"/>
      <c r="B472" s="21"/>
      <c r="C472" s="49" t="s">
        <v>50</v>
      </c>
      <c r="D472" s="23" t="s">
        <v>17</v>
      </c>
      <c r="E472" s="24" t="s">
        <v>18</v>
      </c>
      <c r="F472" s="40" t="s">
        <v>19</v>
      </c>
      <c r="G472" s="26" t="str">
        <f t="shared" si="1"/>
        <v>16O_13C</v>
      </c>
      <c r="H472" s="45" t="s">
        <v>74</v>
      </c>
      <c r="I472" s="10">
        <v>79.0</v>
      </c>
      <c r="J472" s="11" t="s">
        <v>116</v>
      </c>
      <c r="K472" s="12" t="str">
        <f>IFERROR(__xludf.DUMMYFUNCTION("TEXTJOIN("""",TRUE, REGEXEXTRACT(J472, ""\d+""),""-"",LEFT(C472,3),""-"",LEFT(D472),""-"",LEFT(E472,2),LEFT(F472,2), ""-R"",REGEXEXTRACT(H472, ""\d+"") )"),"79-Per-L-1613-R3")</f>
        <v>79-Per-L-1613-R3</v>
      </c>
      <c r="L472" s="8" t="s">
        <v>24</v>
      </c>
      <c r="M472" s="13">
        <v>3.0</v>
      </c>
      <c r="N472" s="14">
        <v>1.16</v>
      </c>
      <c r="O472" s="15">
        <f>SUM(N470:N475)</f>
        <v>7.12</v>
      </c>
      <c r="P472" s="16">
        <f t="shared" si="2"/>
        <v>4.537922243</v>
      </c>
    </row>
    <row r="473">
      <c r="A473" s="17"/>
      <c r="B473" s="18"/>
      <c r="C473" s="49" t="s">
        <v>50</v>
      </c>
      <c r="D473" s="23" t="s">
        <v>17</v>
      </c>
      <c r="E473" s="24" t="s">
        <v>18</v>
      </c>
      <c r="F473" s="40" t="s">
        <v>19</v>
      </c>
      <c r="G473" s="26" t="str">
        <f t="shared" si="1"/>
        <v>16O_13C</v>
      </c>
      <c r="H473" s="45" t="s">
        <v>74</v>
      </c>
      <c r="I473" s="10">
        <v>79.0</v>
      </c>
      <c r="J473" s="11" t="s">
        <v>116</v>
      </c>
      <c r="K473" s="12" t="str">
        <f>IFERROR(__xludf.DUMMYFUNCTION("TEXTJOIN("""",TRUE, REGEXEXTRACT(J473, ""\d+""),""-"",LEFT(C473,3),""-"",LEFT(D473),""-"",LEFT(E473,2),LEFT(F473,2), ""-R"",REGEXEXTRACT(H473, ""\d+"") )"),"79-Per-L-1613-R3")</f>
        <v>79-Per-L-1613-R3</v>
      </c>
      <c r="L473" s="8" t="s">
        <v>25</v>
      </c>
      <c r="M473" s="13">
        <v>4.0</v>
      </c>
      <c r="N473" s="14">
        <v>1.16</v>
      </c>
      <c r="O473" s="19">
        <f>SUM(N470:N475)</f>
        <v>7.12</v>
      </c>
      <c r="P473" s="20">
        <f t="shared" si="2"/>
        <v>4.537922243</v>
      </c>
    </row>
    <row r="474">
      <c r="A474" s="6"/>
      <c r="B474" s="21"/>
      <c r="C474" s="49" t="s">
        <v>50</v>
      </c>
      <c r="D474" s="23" t="s">
        <v>17</v>
      </c>
      <c r="E474" s="24" t="s">
        <v>18</v>
      </c>
      <c r="F474" s="40" t="s">
        <v>19</v>
      </c>
      <c r="G474" s="26" t="str">
        <f t="shared" si="1"/>
        <v>16O_13C</v>
      </c>
      <c r="H474" s="45" t="s">
        <v>74</v>
      </c>
      <c r="I474" s="10">
        <v>79.0</v>
      </c>
      <c r="J474" s="11" t="s">
        <v>116</v>
      </c>
      <c r="K474" s="12" t="str">
        <f>IFERROR(__xludf.DUMMYFUNCTION("TEXTJOIN("""",TRUE, REGEXEXTRACT(J474, ""\d+""),""-"",LEFT(C474,3),""-"",LEFT(D474),""-"",LEFT(E474,2),LEFT(F474,2), ""-R"",REGEXEXTRACT(H474, ""\d+"") )"),"79-Per-L-1613-R3")</f>
        <v>79-Per-L-1613-R3</v>
      </c>
      <c r="L474" s="8" t="s">
        <v>26</v>
      </c>
      <c r="M474" s="13">
        <v>5.0</v>
      </c>
      <c r="N474" s="14">
        <f>2.37-1.16</f>
        <v>1.21</v>
      </c>
      <c r="O474" s="15">
        <f>SUM(N470:N475)</f>
        <v>7.12</v>
      </c>
      <c r="P474" s="16">
        <f t="shared" si="2"/>
        <v>4.537922243</v>
      </c>
    </row>
    <row r="475">
      <c r="A475" s="17"/>
      <c r="B475" s="18"/>
      <c r="C475" s="49" t="s">
        <v>50</v>
      </c>
      <c r="D475" s="23" t="s">
        <v>17</v>
      </c>
      <c r="E475" s="24" t="s">
        <v>18</v>
      </c>
      <c r="F475" s="40" t="s">
        <v>19</v>
      </c>
      <c r="G475" s="26" t="str">
        <f t="shared" si="1"/>
        <v>16O_13C</v>
      </c>
      <c r="H475" s="45" t="s">
        <v>74</v>
      </c>
      <c r="I475" s="10">
        <v>79.0</v>
      </c>
      <c r="J475" s="11" t="s">
        <v>116</v>
      </c>
      <c r="K475" s="12" t="str">
        <f>IFERROR(__xludf.DUMMYFUNCTION("TEXTJOIN("""",TRUE, REGEXEXTRACT(J475, ""\d+""),""-"",LEFT(C475,3),""-"",LEFT(D475),""-"",LEFT(E475,2),LEFT(F475,2), ""-R"",REGEXEXTRACT(H475, ""\d+"") )"),"79-Per-L-1613-R3")</f>
        <v>79-Per-L-1613-R3</v>
      </c>
      <c r="L475" s="8" t="s">
        <v>27</v>
      </c>
      <c r="M475" s="13">
        <v>6.0</v>
      </c>
      <c r="N475" s="14">
        <v>1.17</v>
      </c>
      <c r="O475" s="19">
        <f>SUM(N470:N475)</f>
        <v>7.12</v>
      </c>
      <c r="P475" s="20">
        <f t="shared" si="2"/>
        <v>4.537922243</v>
      </c>
    </row>
    <row r="476">
      <c r="A476" s="6"/>
      <c r="B476" s="21"/>
      <c r="C476" s="49" t="s">
        <v>50</v>
      </c>
      <c r="D476" s="23" t="s">
        <v>17</v>
      </c>
      <c r="E476" s="24" t="s">
        <v>18</v>
      </c>
      <c r="F476" s="40" t="s">
        <v>19</v>
      </c>
      <c r="G476" s="26" t="str">
        <f t="shared" si="1"/>
        <v>16O_13C</v>
      </c>
      <c r="H476" s="45" t="s">
        <v>94</v>
      </c>
      <c r="I476" s="10">
        <v>80.0</v>
      </c>
      <c r="J476" s="11" t="s">
        <v>117</v>
      </c>
      <c r="K476" s="12" t="str">
        <f>IFERROR(__xludf.DUMMYFUNCTION("TEXTJOIN("""",TRUE, REGEXEXTRACT(J476, ""\d+""),""-"",LEFT(C476,3),""-"",LEFT(D476),""-"",LEFT(E476,2),LEFT(F476,2), ""-R"",REGEXEXTRACT(H476, ""\d+"") )"),"80-Per-L-1613-R4")</f>
        <v>80-Per-L-1613-R4</v>
      </c>
      <c r="L476" s="8" t="s">
        <v>22</v>
      </c>
      <c r="M476" s="13">
        <v>1.0</v>
      </c>
      <c r="N476" s="14">
        <v>1.23</v>
      </c>
      <c r="O476" s="15">
        <f>SUM(N476:N481)</f>
        <v>7.34</v>
      </c>
      <c r="P476" s="16">
        <f t="shared" si="2"/>
        <v>4.678138942</v>
      </c>
    </row>
    <row r="477">
      <c r="A477" s="17"/>
      <c r="B477" s="18"/>
      <c r="C477" s="49" t="s">
        <v>50</v>
      </c>
      <c r="D477" s="23" t="s">
        <v>17</v>
      </c>
      <c r="E477" s="24" t="s">
        <v>18</v>
      </c>
      <c r="F477" s="40" t="s">
        <v>19</v>
      </c>
      <c r="G477" s="26" t="str">
        <f t="shared" si="1"/>
        <v>16O_13C</v>
      </c>
      <c r="H477" s="45" t="s">
        <v>94</v>
      </c>
      <c r="I477" s="10">
        <v>80.0</v>
      </c>
      <c r="J477" s="11" t="s">
        <v>117</v>
      </c>
      <c r="K477" s="12" t="str">
        <f>IFERROR(__xludf.DUMMYFUNCTION("TEXTJOIN("""",TRUE, REGEXEXTRACT(J477, ""\d+""),""-"",LEFT(C477,3),""-"",LEFT(D477),""-"",LEFT(E477,2),LEFT(F477,2), ""-R"",REGEXEXTRACT(H477, ""\d+"") )"),"80-Per-L-1613-R4")</f>
        <v>80-Per-L-1613-R4</v>
      </c>
      <c r="L477" s="8" t="s">
        <v>23</v>
      </c>
      <c r="M477" s="13">
        <v>2.0</v>
      </c>
      <c r="N477" s="14">
        <v>1.18</v>
      </c>
      <c r="O477" s="19">
        <f>SUM(N476:N481)</f>
        <v>7.34</v>
      </c>
      <c r="P477" s="20">
        <f t="shared" si="2"/>
        <v>4.678138942</v>
      </c>
    </row>
    <row r="478">
      <c r="A478" s="6"/>
      <c r="B478" s="21"/>
      <c r="C478" s="49" t="s">
        <v>50</v>
      </c>
      <c r="D478" s="23" t="s">
        <v>17</v>
      </c>
      <c r="E478" s="24" t="s">
        <v>18</v>
      </c>
      <c r="F478" s="40" t="s">
        <v>19</v>
      </c>
      <c r="G478" s="26" t="str">
        <f t="shared" si="1"/>
        <v>16O_13C</v>
      </c>
      <c r="H478" s="45" t="s">
        <v>94</v>
      </c>
      <c r="I478" s="10">
        <v>80.0</v>
      </c>
      <c r="J478" s="11" t="s">
        <v>117</v>
      </c>
      <c r="K478" s="12" t="str">
        <f>IFERROR(__xludf.DUMMYFUNCTION("TEXTJOIN("""",TRUE, REGEXEXTRACT(J478, ""\d+""),""-"",LEFT(C478,3),""-"",LEFT(D478),""-"",LEFT(E478,2),LEFT(F478,2), ""-R"",REGEXEXTRACT(H478, ""\d+"") )"),"80-Per-L-1613-R4")</f>
        <v>80-Per-L-1613-R4</v>
      </c>
      <c r="L478" s="8" t="s">
        <v>24</v>
      </c>
      <c r="M478" s="13">
        <v>3.0</v>
      </c>
      <c r="N478" s="14">
        <v>1.22</v>
      </c>
      <c r="O478" s="15">
        <f>SUM(N476:N481)</f>
        <v>7.34</v>
      </c>
      <c r="P478" s="16">
        <f t="shared" si="2"/>
        <v>4.678138942</v>
      </c>
    </row>
    <row r="479">
      <c r="A479" s="17"/>
      <c r="B479" s="18"/>
      <c r="C479" s="49" t="s">
        <v>50</v>
      </c>
      <c r="D479" s="23" t="s">
        <v>17</v>
      </c>
      <c r="E479" s="24" t="s">
        <v>18</v>
      </c>
      <c r="F479" s="40" t="s">
        <v>19</v>
      </c>
      <c r="G479" s="26" t="str">
        <f t="shared" si="1"/>
        <v>16O_13C</v>
      </c>
      <c r="H479" s="45" t="s">
        <v>94</v>
      </c>
      <c r="I479" s="10">
        <v>80.0</v>
      </c>
      <c r="J479" s="11" t="s">
        <v>117</v>
      </c>
      <c r="K479" s="12" t="str">
        <f>IFERROR(__xludf.DUMMYFUNCTION("TEXTJOIN("""",TRUE, REGEXEXTRACT(J479, ""\d+""),""-"",LEFT(C479,3),""-"",LEFT(D479),""-"",LEFT(E479,2),LEFT(F479,2), ""-R"",REGEXEXTRACT(H479, ""\d+"") )"),"80-Per-L-1613-R4")</f>
        <v>80-Per-L-1613-R4</v>
      </c>
      <c r="L479" s="8" t="s">
        <v>25</v>
      </c>
      <c r="M479" s="13">
        <v>4.0</v>
      </c>
      <c r="N479" s="14">
        <v>1.27</v>
      </c>
      <c r="O479" s="19">
        <f>SUM(N476:N481)</f>
        <v>7.34</v>
      </c>
      <c r="P479" s="20">
        <f t="shared" si="2"/>
        <v>4.678138942</v>
      </c>
    </row>
    <row r="480">
      <c r="A480" s="6"/>
      <c r="B480" s="21"/>
      <c r="C480" s="49" t="s">
        <v>50</v>
      </c>
      <c r="D480" s="23" t="s">
        <v>17</v>
      </c>
      <c r="E480" s="24" t="s">
        <v>18</v>
      </c>
      <c r="F480" s="40" t="s">
        <v>19</v>
      </c>
      <c r="G480" s="26" t="str">
        <f t="shared" si="1"/>
        <v>16O_13C</v>
      </c>
      <c r="H480" s="45" t="s">
        <v>94</v>
      </c>
      <c r="I480" s="10">
        <v>80.0</v>
      </c>
      <c r="J480" s="11" t="s">
        <v>117</v>
      </c>
      <c r="K480" s="12" t="str">
        <f>IFERROR(__xludf.DUMMYFUNCTION("TEXTJOIN("""",TRUE, REGEXEXTRACT(J480, ""\d+""),""-"",LEFT(C480,3),""-"",LEFT(D480),""-"",LEFT(E480,2),LEFT(F480,2), ""-R"",REGEXEXTRACT(H480, ""\d+"") )"),"80-Per-L-1613-R4")</f>
        <v>80-Per-L-1613-R4</v>
      </c>
      <c r="L480" s="8" t="s">
        <v>26</v>
      </c>
      <c r="M480" s="13">
        <v>5.0</v>
      </c>
      <c r="N480" s="14">
        <v>1.21</v>
      </c>
      <c r="O480" s="15">
        <f>SUM(N476:N481)</f>
        <v>7.34</v>
      </c>
      <c r="P480" s="16">
        <f t="shared" si="2"/>
        <v>4.678138942</v>
      </c>
    </row>
    <row r="481">
      <c r="A481" s="17"/>
      <c r="B481" s="18"/>
      <c r="C481" s="49" t="s">
        <v>50</v>
      </c>
      <c r="D481" s="23" t="s">
        <v>17</v>
      </c>
      <c r="E481" s="24" t="s">
        <v>18</v>
      </c>
      <c r="F481" s="40" t="s">
        <v>19</v>
      </c>
      <c r="G481" s="26" t="str">
        <f t="shared" si="1"/>
        <v>16O_13C</v>
      </c>
      <c r="H481" s="45" t="s">
        <v>94</v>
      </c>
      <c r="I481" s="10">
        <v>80.0</v>
      </c>
      <c r="J481" s="11" t="s">
        <v>117</v>
      </c>
      <c r="K481" s="12" t="str">
        <f>IFERROR(__xludf.DUMMYFUNCTION("TEXTJOIN("""",TRUE, REGEXEXTRACT(J481, ""\d+""),""-"",LEFT(C481,3),""-"",LEFT(D481),""-"",LEFT(E481,2),LEFT(F481,2), ""-R"",REGEXEXTRACT(H481, ""\d+"") )"),"80-Per-L-1613-R4")</f>
        <v>80-Per-L-1613-R4</v>
      </c>
      <c r="L481" s="8" t="s">
        <v>27</v>
      </c>
      <c r="M481" s="13">
        <v>6.0</v>
      </c>
      <c r="N481" s="14">
        <v>1.23</v>
      </c>
      <c r="O481" s="19">
        <f>SUM(N476:N481)</f>
        <v>7.34</v>
      </c>
      <c r="P481" s="20">
        <f t="shared" si="2"/>
        <v>4.678138942</v>
      </c>
    </row>
    <row r="482">
      <c r="A482" s="6"/>
      <c r="B482" s="21"/>
      <c r="C482" s="22" t="s">
        <v>50</v>
      </c>
      <c r="D482" s="41" t="s">
        <v>32</v>
      </c>
      <c r="E482" s="29" t="s">
        <v>18</v>
      </c>
      <c r="F482" s="52" t="s">
        <v>19</v>
      </c>
      <c r="G482" s="30" t="str">
        <f t="shared" si="1"/>
        <v>16O_13C</v>
      </c>
      <c r="H482" s="31" t="s">
        <v>20</v>
      </c>
      <c r="I482" s="10">
        <v>81.0</v>
      </c>
      <c r="J482" s="11" t="s">
        <v>118</v>
      </c>
      <c r="K482" s="12" t="str">
        <f>IFERROR(__xludf.DUMMYFUNCTION("TEXTJOIN("""",TRUE, REGEXEXTRACT(J482, ""\d+""),""-"",LEFT(C482,3),""-"",LEFT(D482),""-"",LEFT(E482,2),LEFT(F482,2), ""-R"",REGEXEXTRACT(H482, ""\d+"") )"),"81-Per-E-1613-R1")</f>
        <v>81-Per-E-1613-R1</v>
      </c>
      <c r="L482" s="8" t="s">
        <v>22</v>
      </c>
      <c r="M482" s="13">
        <v>1.0</v>
      </c>
      <c r="N482" s="14">
        <v>1.17</v>
      </c>
      <c r="O482" s="15">
        <f>SUM(N482:N487)</f>
        <v>7.21</v>
      </c>
      <c r="P482" s="16">
        <f t="shared" si="2"/>
        <v>4.59528362</v>
      </c>
    </row>
    <row r="483">
      <c r="A483" s="17"/>
      <c r="B483" s="18"/>
      <c r="C483" s="22" t="s">
        <v>50</v>
      </c>
      <c r="D483" s="41" t="s">
        <v>32</v>
      </c>
      <c r="E483" s="29" t="s">
        <v>18</v>
      </c>
      <c r="F483" s="52" t="s">
        <v>19</v>
      </c>
      <c r="G483" s="30" t="str">
        <f t="shared" si="1"/>
        <v>16O_13C</v>
      </c>
      <c r="H483" s="31" t="s">
        <v>20</v>
      </c>
      <c r="I483" s="10">
        <v>81.0</v>
      </c>
      <c r="J483" s="11" t="s">
        <v>118</v>
      </c>
      <c r="K483" s="12" t="str">
        <f>IFERROR(__xludf.DUMMYFUNCTION("TEXTJOIN("""",TRUE, REGEXEXTRACT(J483, ""\d+""),""-"",LEFT(C483,3),""-"",LEFT(D483),""-"",LEFT(E483,2),LEFT(F483,2), ""-R"",REGEXEXTRACT(H483, ""\d+"") )"),"81-Per-E-1613-R1")</f>
        <v>81-Per-E-1613-R1</v>
      </c>
      <c r="L483" s="8" t="s">
        <v>23</v>
      </c>
      <c r="M483" s="13">
        <v>2.0</v>
      </c>
      <c r="N483" s="14">
        <v>1.14</v>
      </c>
      <c r="O483" s="19">
        <f>SUM(N482:N487)</f>
        <v>7.21</v>
      </c>
      <c r="P483" s="20">
        <f t="shared" si="2"/>
        <v>4.59528362</v>
      </c>
    </row>
    <row r="484">
      <c r="A484" s="6"/>
      <c r="B484" s="21"/>
      <c r="C484" s="22" t="s">
        <v>50</v>
      </c>
      <c r="D484" s="41" t="s">
        <v>32</v>
      </c>
      <c r="E484" s="29" t="s">
        <v>18</v>
      </c>
      <c r="F484" s="52" t="s">
        <v>19</v>
      </c>
      <c r="G484" s="30" t="str">
        <f t="shared" si="1"/>
        <v>16O_13C</v>
      </c>
      <c r="H484" s="31" t="s">
        <v>20</v>
      </c>
      <c r="I484" s="10">
        <v>81.0</v>
      </c>
      <c r="J484" s="11" t="s">
        <v>118</v>
      </c>
      <c r="K484" s="12" t="str">
        <f>IFERROR(__xludf.DUMMYFUNCTION("TEXTJOIN("""",TRUE, REGEXEXTRACT(J484, ""\d+""),""-"",LEFT(C484,3),""-"",LEFT(D484),""-"",LEFT(E484,2),LEFT(F484,2), ""-R"",REGEXEXTRACT(H484, ""\d+"") )"),"81-Per-E-1613-R1")</f>
        <v>81-Per-E-1613-R1</v>
      </c>
      <c r="L484" s="8" t="s">
        <v>24</v>
      </c>
      <c r="M484" s="13">
        <v>3.0</v>
      </c>
      <c r="N484" s="14">
        <v>1.27</v>
      </c>
      <c r="O484" s="15">
        <f>SUM(N482:N487)</f>
        <v>7.21</v>
      </c>
      <c r="P484" s="16">
        <f t="shared" si="2"/>
        <v>4.59528362</v>
      </c>
    </row>
    <row r="485">
      <c r="A485" s="17"/>
      <c r="B485" s="18"/>
      <c r="C485" s="22" t="s">
        <v>50</v>
      </c>
      <c r="D485" s="41" t="s">
        <v>32</v>
      </c>
      <c r="E485" s="29" t="s">
        <v>18</v>
      </c>
      <c r="F485" s="52" t="s">
        <v>19</v>
      </c>
      <c r="G485" s="30" t="str">
        <f t="shared" si="1"/>
        <v>16O_13C</v>
      </c>
      <c r="H485" s="31" t="s">
        <v>20</v>
      </c>
      <c r="I485" s="10">
        <v>81.0</v>
      </c>
      <c r="J485" s="11" t="s">
        <v>118</v>
      </c>
      <c r="K485" s="12" t="str">
        <f>IFERROR(__xludf.DUMMYFUNCTION("TEXTJOIN("""",TRUE, REGEXEXTRACT(J485, ""\d+""),""-"",LEFT(C485,3),""-"",LEFT(D485),""-"",LEFT(E485,2),LEFT(F485,2), ""-R"",REGEXEXTRACT(H485, ""\d+"") )"),"81-Per-E-1613-R1")</f>
        <v>81-Per-E-1613-R1</v>
      </c>
      <c r="L485" s="8" t="s">
        <v>25</v>
      </c>
      <c r="M485" s="13">
        <v>4.0</v>
      </c>
      <c r="N485" s="14">
        <v>1.2</v>
      </c>
      <c r="O485" s="19">
        <f>SUM(N482:N487)</f>
        <v>7.21</v>
      </c>
      <c r="P485" s="20">
        <f t="shared" si="2"/>
        <v>4.59528362</v>
      </c>
    </row>
    <row r="486">
      <c r="A486" s="6"/>
      <c r="B486" s="21"/>
      <c r="C486" s="22" t="s">
        <v>50</v>
      </c>
      <c r="D486" s="41" t="s">
        <v>32</v>
      </c>
      <c r="E486" s="29" t="s">
        <v>18</v>
      </c>
      <c r="F486" s="52" t="s">
        <v>19</v>
      </c>
      <c r="G486" s="30" t="str">
        <f t="shared" si="1"/>
        <v>16O_13C</v>
      </c>
      <c r="H486" s="31" t="s">
        <v>20</v>
      </c>
      <c r="I486" s="10">
        <v>81.0</v>
      </c>
      <c r="J486" s="11" t="s">
        <v>118</v>
      </c>
      <c r="K486" s="12" t="str">
        <f>IFERROR(__xludf.DUMMYFUNCTION("TEXTJOIN("""",TRUE, REGEXEXTRACT(J486, ""\d+""),""-"",LEFT(C486,3),""-"",LEFT(D486),""-"",LEFT(E486,2),LEFT(F486,2), ""-R"",REGEXEXTRACT(H486, ""\d+"") )"),"81-Per-E-1613-R1")</f>
        <v>81-Per-E-1613-R1</v>
      </c>
      <c r="L486" s="8" t="s">
        <v>26</v>
      </c>
      <c r="M486" s="13">
        <v>5.0</v>
      </c>
      <c r="N486" s="14">
        <v>1.23</v>
      </c>
      <c r="O486" s="15">
        <f>SUM(N482:N487)</f>
        <v>7.21</v>
      </c>
      <c r="P486" s="16">
        <f t="shared" si="2"/>
        <v>4.59528362</v>
      </c>
    </row>
    <row r="487">
      <c r="A487" s="17"/>
      <c r="B487" s="18"/>
      <c r="C487" s="22" t="s">
        <v>50</v>
      </c>
      <c r="D487" s="41" t="s">
        <v>32</v>
      </c>
      <c r="E487" s="29" t="s">
        <v>18</v>
      </c>
      <c r="F487" s="52" t="s">
        <v>19</v>
      </c>
      <c r="G487" s="30" t="str">
        <f t="shared" si="1"/>
        <v>16O_13C</v>
      </c>
      <c r="H487" s="31" t="s">
        <v>20</v>
      </c>
      <c r="I487" s="10">
        <v>81.0</v>
      </c>
      <c r="J487" s="11" t="s">
        <v>118</v>
      </c>
      <c r="K487" s="12" t="str">
        <f>IFERROR(__xludf.DUMMYFUNCTION("TEXTJOIN("""",TRUE, REGEXEXTRACT(J487, ""\d+""),""-"",LEFT(C487,3),""-"",LEFT(D487),""-"",LEFT(E487,2),LEFT(F487,2), ""-R"",REGEXEXTRACT(H487, ""\d+"") )"),"81-Per-E-1613-R1")</f>
        <v>81-Per-E-1613-R1</v>
      </c>
      <c r="L487" s="8" t="s">
        <v>27</v>
      </c>
      <c r="M487" s="13">
        <v>6.0</v>
      </c>
      <c r="N487" s="14">
        <v>1.2</v>
      </c>
      <c r="O487" s="19">
        <f>SUM(N482:N487)</f>
        <v>7.21</v>
      </c>
      <c r="P487" s="20">
        <f t="shared" si="2"/>
        <v>4.59528362</v>
      </c>
    </row>
    <row r="488">
      <c r="A488" s="6"/>
      <c r="B488" s="21"/>
      <c r="C488" s="50" t="s">
        <v>50</v>
      </c>
      <c r="D488" s="32" t="s">
        <v>32</v>
      </c>
      <c r="E488" s="29" t="s">
        <v>18</v>
      </c>
      <c r="F488" s="52" t="s">
        <v>19</v>
      </c>
      <c r="G488" s="30" t="str">
        <f t="shared" si="1"/>
        <v>16O_13C</v>
      </c>
      <c r="H488" s="45" t="s">
        <v>54</v>
      </c>
      <c r="I488" s="10">
        <v>82.0</v>
      </c>
      <c r="J488" s="11" t="s">
        <v>119</v>
      </c>
      <c r="K488" s="12" t="str">
        <f>IFERROR(__xludf.DUMMYFUNCTION("TEXTJOIN("""",TRUE, REGEXEXTRACT(J488, ""\d+""),""-"",LEFT(C488,3),""-"",LEFT(D488),""-"",LEFT(E488,2),LEFT(F488,2), ""-R"",REGEXEXTRACT(H488, ""\d+"") )"),"82-Per-E-1613-R2")</f>
        <v>82-Per-E-1613-R2</v>
      </c>
      <c r="L488" s="8" t="s">
        <v>22</v>
      </c>
      <c r="M488" s="13">
        <v>1.0</v>
      </c>
      <c r="N488" s="14">
        <v>1.17</v>
      </c>
      <c r="O488" s="15">
        <f>SUM(N488:N493)</f>
        <v>7.05</v>
      </c>
      <c r="P488" s="16">
        <f t="shared" si="2"/>
        <v>4.493307839</v>
      </c>
    </row>
    <row r="489">
      <c r="A489" s="17"/>
      <c r="B489" s="18"/>
      <c r="C489" s="50" t="s">
        <v>50</v>
      </c>
      <c r="D489" s="32" t="s">
        <v>32</v>
      </c>
      <c r="E489" s="29" t="s">
        <v>18</v>
      </c>
      <c r="F489" s="52" t="s">
        <v>19</v>
      </c>
      <c r="G489" s="30" t="str">
        <f t="shared" si="1"/>
        <v>16O_13C</v>
      </c>
      <c r="H489" s="45" t="s">
        <v>54</v>
      </c>
      <c r="I489" s="10">
        <v>82.0</v>
      </c>
      <c r="J489" s="11" t="s">
        <v>119</v>
      </c>
      <c r="K489" s="12" t="str">
        <f>IFERROR(__xludf.DUMMYFUNCTION("TEXTJOIN("""",TRUE, REGEXEXTRACT(J489, ""\d+""),""-"",LEFT(C489,3),""-"",LEFT(D489),""-"",LEFT(E489,2),LEFT(F489,2), ""-R"",REGEXEXTRACT(H489, ""\d+"") )"),"82-Per-E-1613-R2")</f>
        <v>82-Per-E-1613-R2</v>
      </c>
      <c r="L489" s="8" t="s">
        <v>23</v>
      </c>
      <c r="M489" s="13">
        <v>2.0</v>
      </c>
      <c r="N489" s="14">
        <v>1.14</v>
      </c>
      <c r="O489" s="19">
        <f>SUM(N488:N493)</f>
        <v>7.05</v>
      </c>
      <c r="P489" s="20">
        <f t="shared" si="2"/>
        <v>4.493307839</v>
      </c>
    </row>
    <row r="490">
      <c r="A490" s="6"/>
      <c r="B490" s="21"/>
      <c r="C490" s="50" t="s">
        <v>50</v>
      </c>
      <c r="D490" s="32" t="s">
        <v>32</v>
      </c>
      <c r="E490" s="29" t="s">
        <v>18</v>
      </c>
      <c r="F490" s="52" t="s">
        <v>19</v>
      </c>
      <c r="G490" s="30" t="str">
        <f t="shared" si="1"/>
        <v>16O_13C</v>
      </c>
      <c r="H490" s="45" t="s">
        <v>54</v>
      </c>
      <c r="I490" s="10">
        <v>82.0</v>
      </c>
      <c r="J490" s="11" t="s">
        <v>119</v>
      </c>
      <c r="K490" s="12" t="str">
        <f>IFERROR(__xludf.DUMMYFUNCTION("TEXTJOIN("""",TRUE, REGEXEXTRACT(J490, ""\d+""),""-"",LEFT(C490,3),""-"",LEFT(D490),""-"",LEFT(E490,2),LEFT(F490,2), ""-R"",REGEXEXTRACT(H490, ""\d+"") )"),"82-Per-E-1613-R2")</f>
        <v>82-Per-E-1613-R2</v>
      </c>
      <c r="L490" s="8" t="s">
        <v>24</v>
      </c>
      <c r="M490" s="13">
        <v>3.0</v>
      </c>
      <c r="N490" s="14">
        <v>1.15</v>
      </c>
      <c r="O490" s="15">
        <f>SUM(N488:N493)</f>
        <v>7.05</v>
      </c>
      <c r="P490" s="16">
        <f t="shared" si="2"/>
        <v>4.493307839</v>
      </c>
    </row>
    <row r="491">
      <c r="A491" s="17"/>
      <c r="B491" s="18"/>
      <c r="C491" s="50" t="s">
        <v>50</v>
      </c>
      <c r="D491" s="32" t="s">
        <v>32</v>
      </c>
      <c r="E491" s="29" t="s">
        <v>18</v>
      </c>
      <c r="F491" s="52" t="s">
        <v>19</v>
      </c>
      <c r="G491" s="30" t="str">
        <f t="shared" si="1"/>
        <v>16O_13C</v>
      </c>
      <c r="H491" s="45" t="s">
        <v>54</v>
      </c>
      <c r="I491" s="10">
        <v>82.0</v>
      </c>
      <c r="J491" s="11" t="s">
        <v>119</v>
      </c>
      <c r="K491" s="12" t="str">
        <f>IFERROR(__xludf.DUMMYFUNCTION("TEXTJOIN("""",TRUE, REGEXEXTRACT(J491, ""\d+""),""-"",LEFT(C491,3),""-"",LEFT(D491),""-"",LEFT(E491,2),LEFT(F491,2), ""-R"",REGEXEXTRACT(H491, ""\d+"") )"),"82-Per-E-1613-R2")</f>
        <v>82-Per-E-1613-R2</v>
      </c>
      <c r="L491" s="8" t="s">
        <v>25</v>
      </c>
      <c r="M491" s="13">
        <v>4.0</v>
      </c>
      <c r="N491" s="14">
        <v>1.17</v>
      </c>
      <c r="O491" s="19">
        <f>SUM(N488:N493)</f>
        <v>7.05</v>
      </c>
      <c r="P491" s="20">
        <f t="shared" si="2"/>
        <v>4.493307839</v>
      </c>
    </row>
    <row r="492">
      <c r="A492" s="6"/>
      <c r="B492" s="21"/>
      <c r="C492" s="50" t="s">
        <v>50</v>
      </c>
      <c r="D492" s="32" t="s">
        <v>32</v>
      </c>
      <c r="E492" s="29" t="s">
        <v>18</v>
      </c>
      <c r="F492" s="52" t="s">
        <v>19</v>
      </c>
      <c r="G492" s="30" t="str">
        <f t="shared" si="1"/>
        <v>16O_13C</v>
      </c>
      <c r="H492" s="45" t="s">
        <v>54</v>
      </c>
      <c r="I492" s="10">
        <v>82.0</v>
      </c>
      <c r="J492" s="11" t="s">
        <v>119</v>
      </c>
      <c r="K492" s="12" t="str">
        <f>IFERROR(__xludf.DUMMYFUNCTION("TEXTJOIN("""",TRUE, REGEXEXTRACT(J492, ""\d+""),""-"",LEFT(C492,3),""-"",LEFT(D492),""-"",LEFT(E492,2),LEFT(F492,2), ""-R"",REGEXEXTRACT(H492, ""\d+"") )"),"82-Per-E-1613-R2")</f>
        <v>82-Per-E-1613-R2</v>
      </c>
      <c r="L492" s="8" t="s">
        <v>26</v>
      </c>
      <c r="M492" s="13">
        <v>5.0</v>
      </c>
      <c r="N492" s="14">
        <v>1.14</v>
      </c>
      <c r="O492" s="15">
        <f>SUM(N488:N493)</f>
        <v>7.05</v>
      </c>
      <c r="P492" s="16">
        <f t="shared" si="2"/>
        <v>4.493307839</v>
      </c>
    </row>
    <row r="493">
      <c r="A493" s="17"/>
      <c r="B493" s="18"/>
      <c r="C493" s="50" t="s">
        <v>50</v>
      </c>
      <c r="D493" s="32" t="s">
        <v>32</v>
      </c>
      <c r="E493" s="29" t="s">
        <v>18</v>
      </c>
      <c r="F493" s="52" t="s">
        <v>19</v>
      </c>
      <c r="G493" s="30" t="str">
        <f t="shared" si="1"/>
        <v>16O_13C</v>
      </c>
      <c r="H493" s="45" t="s">
        <v>54</v>
      </c>
      <c r="I493" s="10">
        <v>82.0</v>
      </c>
      <c r="J493" s="11" t="s">
        <v>119</v>
      </c>
      <c r="K493" s="12" t="str">
        <f>IFERROR(__xludf.DUMMYFUNCTION("TEXTJOIN("""",TRUE, REGEXEXTRACT(J493, ""\d+""),""-"",LEFT(C493,3),""-"",LEFT(D493),""-"",LEFT(E493,2),LEFT(F493,2), ""-R"",REGEXEXTRACT(H493, ""\d+"") )"),"82-Per-E-1613-R2")</f>
        <v>82-Per-E-1613-R2</v>
      </c>
      <c r="L493" s="8" t="s">
        <v>27</v>
      </c>
      <c r="M493" s="13">
        <v>6.0</v>
      </c>
      <c r="N493" s="14">
        <v>1.28</v>
      </c>
      <c r="O493" s="19">
        <f>SUM(N488:N493)</f>
        <v>7.05</v>
      </c>
      <c r="P493" s="20">
        <f t="shared" si="2"/>
        <v>4.493307839</v>
      </c>
    </row>
    <row r="494">
      <c r="A494" s="6"/>
      <c r="B494" s="21"/>
      <c r="C494" s="50" t="s">
        <v>50</v>
      </c>
      <c r="D494" s="32" t="s">
        <v>32</v>
      </c>
      <c r="E494" s="29" t="s">
        <v>18</v>
      </c>
      <c r="F494" s="52" t="s">
        <v>19</v>
      </c>
      <c r="G494" s="30" t="str">
        <f t="shared" si="1"/>
        <v>16O_13C</v>
      </c>
      <c r="H494" s="45" t="s">
        <v>74</v>
      </c>
      <c r="I494" s="10">
        <v>83.0</v>
      </c>
      <c r="J494" s="11" t="s">
        <v>120</v>
      </c>
      <c r="K494" s="12" t="str">
        <f>IFERROR(__xludf.DUMMYFUNCTION("TEXTJOIN("""",TRUE, REGEXEXTRACT(J494, ""\d+""),""-"",LEFT(C494,3),""-"",LEFT(D494),""-"",LEFT(E494,2),LEFT(F494,2), ""-R"",REGEXEXTRACT(H494, ""\d+"") )"),"83-Per-E-1613-R3")</f>
        <v>83-Per-E-1613-R3</v>
      </c>
      <c r="L494" s="8" t="s">
        <v>22</v>
      </c>
      <c r="M494" s="13">
        <v>1.0</v>
      </c>
      <c r="N494" s="14">
        <v>1.06</v>
      </c>
      <c r="O494" s="15">
        <f>SUM(N494:N499)</f>
        <v>6.7</v>
      </c>
      <c r="P494" s="16">
        <f t="shared" si="2"/>
        <v>4.270235819</v>
      </c>
    </row>
    <row r="495">
      <c r="A495" s="17"/>
      <c r="B495" s="18"/>
      <c r="C495" s="50" t="s">
        <v>50</v>
      </c>
      <c r="D495" s="32" t="s">
        <v>32</v>
      </c>
      <c r="E495" s="29" t="s">
        <v>18</v>
      </c>
      <c r="F495" s="52" t="s">
        <v>19</v>
      </c>
      <c r="G495" s="30" t="str">
        <f t="shared" si="1"/>
        <v>16O_13C</v>
      </c>
      <c r="H495" s="45" t="s">
        <v>74</v>
      </c>
      <c r="I495" s="10">
        <v>83.0</v>
      </c>
      <c r="J495" s="11" t="s">
        <v>120</v>
      </c>
      <c r="K495" s="12" t="str">
        <f>IFERROR(__xludf.DUMMYFUNCTION("TEXTJOIN("""",TRUE, REGEXEXTRACT(J495, ""\d+""),""-"",LEFT(C495,3),""-"",LEFT(D495),""-"",LEFT(E495,2),LEFT(F495,2), ""-R"",REGEXEXTRACT(H495, ""\d+"") )"),"83-Per-E-1613-R3")</f>
        <v>83-Per-E-1613-R3</v>
      </c>
      <c r="L495" s="8" t="s">
        <v>23</v>
      </c>
      <c r="M495" s="13">
        <v>2.0</v>
      </c>
      <c r="N495" s="14">
        <v>1.16</v>
      </c>
      <c r="O495" s="19">
        <f>SUM(N494:N499)</f>
        <v>6.7</v>
      </c>
      <c r="P495" s="20">
        <f t="shared" si="2"/>
        <v>4.270235819</v>
      </c>
    </row>
    <row r="496">
      <c r="A496" s="6"/>
      <c r="B496" s="21"/>
      <c r="C496" s="50" t="s">
        <v>50</v>
      </c>
      <c r="D496" s="32" t="s">
        <v>32</v>
      </c>
      <c r="E496" s="29" t="s">
        <v>18</v>
      </c>
      <c r="F496" s="52" t="s">
        <v>19</v>
      </c>
      <c r="G496" s="30" t="str">
        <f t="shared" si="1"/>
        <v>16O_13C</v>
      </c>
      <c r="H496" s="45" t="s">
        <v>74</v>
      </c>
      <c r="I496" s="10">
        <v>83.0</v>
      </c>
      <c r="J496" s="11" t="s">
        <v>120</v>
      </c>
      <c r="K496" s="12" t="str">
        <f>IFERROR(__xludf.DUMMYFUNCTION("TEXTJOIN("""",TRUE, REGEXEXTRACT(J496, ""\d+""),""-"",LEFT(C496,3),""-"",LEFT(D496),""-"",LEFT(E496,2),LEFT(F496,2), ""-R"",REGEXEXTRACT(H496, ""\d+"") )"),"83-Per-E-1613-R3")</f>
        <v>83-Per-E-1613-R3</v>
      </c>
      <c r="L496" s="8" t="s">
        <v>24</v>
      </c>
      <c r="M496" s="13">
        <v>3.0</v>
      </c>
      <c r="N496" s="14">
        <v>1.12</v>
      </c>
      <c r="O496" s="15">
        <f>SUM(N494:N499)</f>
        <v>6.7</v>
      </c>
      <c r="P496" s="16">
        <f t="shared" si="2"/>
        <v>4.270235819</v>
      </c>
    </row>
    <row r="497">
      <c r="A497" s="17"/>
      <c r="B497" s="18"/>
      <c r="C497" s="50" t="s">
        <v>50</v>
      </c>
      <c r="D497" s="32" t="s">
        <v>32</v>
      </c>
      <c r="E497" s="29" t="s">
        <v>18</v>
      </c>
      <c r="F497" s="52" t="s">
        <v>19</v>
      </c>
      <c r="G497" s="30" t="str">
        <f t="shared" si="1"/>
        <v>16O_13C</v>
      </c>
      <c r="H497" s="45" t="s">
        <v>74</v>
      </c>
      <c r="I497" s="10">
        <v>83.0</v>
      </c>
      <c r="J497" s="11" t="s">
        <v>120</v>
      </c>
      <c r="K497" s="12" t="str">
        <f>IFERROR(__xludf.DUMMYFUNCTION("TEXTJOIN("""",TRUE, REGEXEXTRACT(J497, ""\d+""),""-"",LEFT(C497,3),""-"",LEFT(D497),""-"",LEFT(E497,2),LEFT(F497,2), ""-R"",REGEXEXTRACT(H497, ""\d+"") )"),"83-Per-E-1613-R3")</f>
        <v>83-Per-E-1613-R3</v>
      </c>
      <c r="L497" s="8" t="s">
        <v>25</v>
      </c>
      <c r="M497" s="13">
        <v>4.0</v>
      </c>
      <c r="N497" s="14">
        <v>1.09</v>
      </c>
      <c r="O497" s="19">
        <f>SUM(N494:N499)</f>
        <v>6.7</v>
      </c>
      <c r="P497" s="20">
        <f t="shared" si="2"/>
        <v>4.270235819</v>
      </c>
    </row>
    <row r="498">
      <c r="A498" s="6"/>
      <c r="B498" s="21"/>
      <c r="C498" s="50" t="s">
        <v>50</v>
      </c>
      <c r="D498" s="32" t="s">
        <v>32</v>
      </c>
      <c r="E498" s="29" t="s">
        <v>18</v>
      </c>
      <c r="F498" s="52" t="s">
        <v>19</v>
      </c>
      <c r="G498" s="30" t="str">
        <f t="shared" si="1"/>
        <v>16O_13C</v>
      </c>
      <c r="H498" s="45" t="s">
        <v>74</v>
      </c>
      <c r="I498" s="10">
        <v>83.0</v>
      </c>
      <c r="J498" s="11" t="s">
        <v>120</v>
      </c>
      <c r="K498" s="12" t="str">
        <f>IFERROR(__xludf.DUMMYFUNCTION("TEXTJOIN("""",TRUE, REGEXEXTRACT(J498, ""\d+""),""-"",LEFT(C498,3),""-"",LEFT(D498),""-"",LEFT(E498,2),LEFT(F498,2), ""-R"",REGEXEXTRACT(H498, ""\d+"") )"),"83-Per-E-1613-R3")</f>
        <v>83-Per-E-1613-R3</v>
      </c>
      <c r="L498" s="8" t="s">
        <v>26</v>
      </c>
      <c r="M498" s="13">
        <v>5.0</v>
      </c>
      <c r="N498" s="14">
        <v>1.12</v>
      </c>
      <c r="O498" s="15">
        <f>SUM(N494:N499)</f>
        <v>6.7</v>
      </c>
      <c r="P498" s="16">
        <f t="shared" si="2"/>
        <v>4.270235819</v>
      </c>
    </row>
    <row r="499">
      <c r="A499" s="17"/>
      <c r="B499" s="18"/>
      <c r="C499" s="50" t="s">
        <v>50</v>
      </c>
      <c r="D499" s="32" t="s">
        <v>32</v>
      </c>
      <c r="E499" s="29" t="s">
        <v>18</v>
      </c>
      <c r="F499" s="52" t="s">
        <v>19</v>
      </c>
      <c r="G499" s="30" t="str">
        <f t="shared" si="1"/>
        <v>16O_13C</v>
      </c>
      <c r="H499" s="45" t="s">
        <v>74</v>
      </c>
      <c r="I499" s="10">
        <v>83.0</v>
      </c>
      <c r="J499" s="11" t="s">
        <v>120</v>
      </c>
      <c r="K499" s="12" t="str">
        <f>IFERROR(__xludf.DUMMYFUNCTION("TEXTJOIN("""",TRUE, REGEXEXTRACT(J499, ""\d+""),""-"",LEFT(C499,3),""-"",LEFT(D499),""-"",LEFT(E499,2),LEFT(F499,2), ""-R"",REGEXEXTRACT(H499, ""\d+"") )"),"83-Per-E-1613-R3")</f>
        <v>83-Per-E-1613-R3</v>
      </c>
      <c r="L499" s="8" t="s">
        <v>27</v>
      </c>
      <c r="M499" s="13">
        <v>6.0</v>
      </c>
      <c r="N499" s="14">
        <v>1.15</v>
      </c>
      <c r="O499" s="19">
        <f>SUM(N494:N499)</f>
        <v>6.7</v>
      </c>
      <c r="P499" s="20">
        <f t="shared" si="2"/>
        <v>4.270235819</v>
      </c>
    </row>
    <row r="500">
      <c r="A500" s="6"/>
      <c r="B500" s="21"/>
      <c r="C500" s="50" t="s">
        <v>50</v>
      </c>
      <c r="D500" s="32" t="s">
        <v>32</v>
      </c>
      <c r="E500" s="29" t="s">
        <v>18</v>
      </c>
      <c r="F500" s="52" t="s">
        <v>19</v>
      </c>
      <c r="G500" s="30" t="str">
        <f t="shared" si="1"/>
        <v>16O_13C</v>
      </c>
      <c r="H500" s="45" t="s">
        <v>94</v>
      </c>
      <c r="I500" s="10">
        <v>84.0</v>
      </c>
      <c r="J500" s="11" t="s">
        <v>121</v>
      </c>
      <c r="K500" s="12" t="str">
        <f>IFERROR(__xludf.DUMMYFUNCTION("TEXTJOIN("""",TRUE, REGEXEXTRACT(J500, ""\d+""),""-"",LEFT(C500,3),""-"",LEFT(D500),""-"",LEFT(E500,2),LEFT(F500,2), ""-R"",REGEXEXTRACT(H500, ""\d+"") )"),"84-Per-E-1613-R4")</f>
        <v>84-Per-E-1613-R4</v>
      </c>
      <c r="L500" s="8" t="s">
        <v>22</v>
      </c>
      <c r="M500" s="13">
        <v>1.0</v>
      </c>
      <c r="N500" s="14">
        <f>0.96+1.09</f>
        <v>2.05</v>
      </c>
      <c r="O500" s="15">
        <f>SUM(N500:N505)</f>
        <v>8.06</v>
      </c>
      <c r="P500" s="16">
        <f t="shared" si="2"/>
        <v>5.137029955</v>
      </c>
    </row>
    <row r="501">
      <c r="A501" s="17"/>
      <c r="B501" s="18"/>
      <c r="C501" s="50" t="s">
        <v>50</v>
      </c>
      <c r="D501" s="32" t="s">
        <v>32</v>
      </c>
      <c r="E501" s="29" t="s">
        <v>18</v>
      </c>
      <c r="F501" s="52" t="s">
        <v>19</v>
      </c>
      <c r="G501" s="30" t="str">
        <f t="shared" si="1"/>
        <v>16O_13C</v>
      </c>
      <c r="H501" s="45" t="s">
        <v>94</v>
      </c>
      <c r="I501" s="10">
        <v>84.0</v>
      </c>
      <c r="J501" s="11" t="s">
        <v>121</v>
      </c>
      <c r="K501" s="12" t="str">
        <f>IFERROR(__xludf.DUMMYFUNCTION("TEXTJOIN("""",TRUE, REGEXEXTRACT(J501, ""\d+""),""-"",LEFT(C501,3),""-"",LEFT(D501),""-"",LEFT(E501,2),LEFT(F501,2), ""-R"",REGEXEXTRACT(H501, ""\d+"") )"),"84-Per-E-1613-R4")</f>
        <v>84-Per-E-1613-R4</v>
      </c>
      <c r="L501" s="8" t="s">
        <v>23</v>
      </c>
      <c r="M501" s="13">
        <v>2.0</v>
      </c>
      <c r="N501" s="14">
        <v>1.07</v>
      </c>
      <c r="O501" s="19">
        <f>SUM(N500:N505)</f>
        <v>8.06</v>
      </c>
      <c r="P501" s="20">
        <f t="shared" si="2"/>
        <v>5.137029955</v>
      </c>
    </row>
    <row r="502">
      <c r="A502" s="6"/>
      <c r="B502" s="21"/>
      <c r="C502" s="50" t="s">
        <v>50</v>
      </c>
      <c r="D502" s="32" t="s">
        <v>32</v>
      </c>
      <c r="E502" s="29" t="s">
        <v>18</v>
      </c>
      <c r="F502" s="52" t="s">
        <v>19</v>
      </c>
      <c r="G502" s="30" t="str">
        <f t="shared" si="1"/>
        <v>16O_13C</v>
      </c>
      <c r="H502" s="45" t="s">
        <v>94</v>
      </c>
      <c r="I502" s="10">
        <v>84.0</v>
      </c>
      <c r="J502" s="11" t="s">
        <v>121</v>
      </c>
      <c r="K502" s="12" t="str">
        <f>IFERROR(__xludf.DUMMYFUNCTION("TEXTJOIN("""",TRUE, REGEXEXTRACT(J502, ""\d+""),""-"",LEFT(C502,3),""-"",LEFT(D502),""-"",LEFT(E502,2),LEFT(F502,2), ""-R"",REGEXEXTRACT(H502, ""\d+"") )"),"84-Per-E-1613-R4")</f>
        <v>84-Per-E-1613-R4</v>
      </c>
      <c r="L502" s="8" t="s">
        <v>24</v>
      </c>
      <c r="M502" s="13">
        <v>3.0</v>
      </c>
      <c r="N502" s="14">
        <v>1.23</v>
      </c>
      <c r="O502" s="15">
        <f>SUM(N500:N505)</f>
        <v>8.06</v>
      </c>
      <c r="P502" s="16">
        <f t="shared" si="2"/>
        <v>5.137029955</v>
      </c>
    </row>
    <row r="503">
      <c r="A503" s="17"/>
      <c r="B503" s="18"/>
      <c r="C503" s="50" t="s">
        <v>50</v>
      </c>
      <c r="D503" s="32" t="s">
        <v>32</v>
      </c>
      <c r="E503" s="29" t="s">
        <v>18</v>
      </c>
      <c r="F503" s="52" t="s">
        <v>19</v>
      </c>
      <c r="G503" s="30" t="str">
        <f t="shared" si="1"/>
        <v>16O_13C</v>
      </c>
      <c r="H503" s="45" t="s">
        <v>94</v>
      </c>
      <c r="I503" s="10">
        <v>84.0</v>
      </c>
      <c r="J503" s="11" t="s">
        <v>121</v>
      </c>
      <c r="K503" s="12" t="str">
        <f>IFERROR(__xludf.DUMMYFUNCTION("TEXTJOIN("""",TRUE, REGEXEXTRACT(J503, ""\d+""),""-"",LEFT(C503,3),""-"",LEFT(D503),""-"",LEFT(E503,2),LEFT(F503,2), ""-R"",REGEXEXTRACT(H503, ""\d+"") )"),"84-Per-E-1613-R4")</f>
        <v>84-Per-E-1613-R4</v>
      </c>
      <c r="L503" s="8" t="s">
        <v>25</v>
      </c>
      <c r="M503" s="13">
        <v>4.0</v>
      </c>
      <c r="N503" s="14">
        <v>1.18</v>
      </c>
      <c r="O503" s="19">
        <f>SUM(N500:N505)</f>
        <v>8.06</v>
      </c>
      <c r="P503" s="20">
        <f t="shared" si="2"/>
        <v>5.137029955</v>
      </c>
    </row>
    <row r="504">
      <c r="A504" s="6"/>
      <c r="B504" s="21"/>
      <c r="C504" s="50" t="s">
        <v>50</v>
      </c>
      <c r="D504" s="32" t="s">
        <v>32</v>
      </c>
      <c r="E504" s="29" t="s">
        <v>18</v>
      </c>
      <c r="F504" s="52" t="s">
        <v>19</v>
      </c>
      <c r="G504" s="30" t="str">
        <f t="shared" si="1"/>
        <v>16O_13C</v>
      </c>
      <c r="H504" s="45" t="s">
        <v>94</v>
      </c>
      <c r="I504" s="10">
        <v>84.0</v>
      </c>
      <c r="J504" s="11" t="s">
        <v>121</v>
      </c>
      <c r="K504" s="12" t="str">
        <f>IFERROR(__xludf.DUMMYFUNCTION("TEXTJOIN("""",TRUE, REGEXEXTRACT(J504, ""\d+""),""-"",LEFT(C504,3),""-"",LEFT(D504),""-"",LEFT(E504,2),LEFT(F504,2), ""-R"",REGEXEXTRACT(H504, ""\d+"") )"),"84-Per-E-1613-R4")</f>
        <v>84-Per-E-1613-R4</v>
      </c>
      <c r="L504" s="8" t="s">
        <v>26</v>
      </c>
      <c r="M504" s="13">
        <v>5.0</v>
      </c>
      <c r="N504" s="14">
        <f>(1.35-1.18)+1.06</f>
        <v>1.23</v>
      </c>
      <c r="O504" s="15">
        <f>SUM(N500:N505)</f>
        <v>8.06</v>
      </c>
      <c r="P504" s="16">
        <f t="shared" si="2"/>
        <v>5.137029955</v>
      </c>
    </row>
    <row r="505">
      <c r="A505" s="53"/>
      <c r="B505" s="54"/>
      <c r="C505" s="50" t="s">
        <v>50</v>
      </c>
      <c r="D505" s="32" t="s">
        <v>32</v>
      </c>
      <c r="E505" s="29" t="s">
        <v>18</v>
      </c>
      <c r="F505" s="52" t="s">
        <v>19</v>
      </c>
      <c r="G505" s="30" t="str">
        <f t="shared" si="1"/>
        <v>16O_13C</v>
      </c>
      <c r="H505" s="45" t="s">
        <v>94</v>
      </c>
      <c r="I505" s="10">
        <v>84.0</v>
      </c>
      <c r="J505" s="11" t="s">
        <v>121</v>
      </c>
      <c r="K505" s="12" t="str">
        <f>IFERROR(__xludf.DUMMYFUNCTION("TEXTJOIN("""",TRUE, REGEXEXTRACT(J505, ""\d+""),""-"",LEFT(C505,3),""-"",LEFT(D505),""-"",LEFT(E505,2),LEFT(F505,2), ""-R"",REGEXEXTRACT(H505, ""\d+"") )"),"84-Per-E-1613-R4")</f>
        <v>84-Per-E-1613-R4</v>
      </c>
      <c r="L505" s="8" t="s">
        <v>27</v>
      </c>
      <c r="M505" s="13">
        <v>6.0</v>
      </c>
      <c r="N505" s="14">
        <v>1.3</v>
      </c>
      <c r="O505" s="55">
        <f>SUM(N500:N505)</f>
        <v>8.06</v>
      </c>
      <c r="P505" s="56">
        <f t="shared" si="2"/>
        <v>5.137029955</v>
      </c>
    </row>
  </sheetData>
  <dataValidations>
    <dataValidation type="list" allowBlank="1" sqref="L2:L505">
      <formula1>"Day 1,Day 3,Day 5,RNA Subsample 1,RNA Subsample 3,RNA Subsample 5"</formula1>
    </dataValidation>
    <dataValidation type="list" allowBlank="1" sqref="E2:E505">
      <formula1>"18O,16O"</formula1>
    </dataValidation>
    <dataValidation type="list" allowBlank="1" sqref="D2:D505">
      <formula1>"Lignin/Cellulose,Exudate Cocktail,No Carbon Added"</formula1>
    </dataValidation>
    <dataValidation type="list" allowBlank="1" sqref="F2:F505">
      <formula1>"13C,12C,No C"</formula1>
    </dataValidation>
    <dataValidation type="list" allowBlank="1" sqref="H2:H505">
      <formula1>"Replicate 1,Replicate 2,Replicate 3,Replicate 4"</formula1>
    </dataValidation>
    <dataValidation allowBlank="1" showDropDown="1" sqref="A2:B505"/>
    <dataValidation type="custom" allowBlank="1" showDropDown="1" sqref="N2:N505">
      <formula1>AND(ISNUMBER(N2),(NOT(OR(NOT(ISERROR(DATEVALUE(N2))), AND(ISNUMBER(N2), LEFT(CELL("format", N2))="D")))))</formula1>
    </dataValidation>
    <dataValidation type="list" allowBlank="1" sqref="C2:C505">
      <formula1>"Rhizosphere + Permafrost,Active Layer + Permafrost,Permafrost Alone"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</cols>
  <sheetData>
    <row r="2">
      <c r="A2" s="34" t="s">
        <v>122</v>
      </c>
    </row>
    <row r="3">
      <c r="A3" s="34" t="s">
        <v>123</v>
      </c>
      <c r="B3" s="34" t="s">
        <v>124</v>
      </c>
      <c r="C3" s="34" t="s">
        <v>125</v>
      </c>
    </row>
    <row r="5">
      <c r="A5" s="34" t="s">
        <v>126</v>
      </c>
      <c r="B5" s="34" t="s">
        <v>127</v>
      </c>
      <c r="C5" s="34"/>
    </row>
    <row r="6">
      <c r="A6" s="34" t="s">
        <v>128</v>
      </c>
      <c r="B6" s="34" t="s">
        <v>127</v>
      </c>
      <c r="C6" s="57" t="s">
        <v>129</v>
      </c>
    </row>
    <row r="7">
      <c r="A7" s="34" t="s">
        <v>130</v>
      </c>
      <c r="B7" s="34" t="s">
        <v>127</v>
      </c>
      <c r="C7" s="57" t="s">
        <v>131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</cols>
  <sheetData>
    <row r="1">
      <c r="A1" s="57" t="s">
        <v>132</v>
      </c>
    </row>
    <row r="2">
      <c r="A2" s="34" t="s">
        <v>133</v>
      </c>
    </row>
    <row r="3">
      <c r="A3" s="34" t="s">
        <v>134</v>
      </c>
    </row>
    <row r="4">
      <c r="A4" s="34" t="s">
        <v>130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6">
      <c r="A6" s="58" t="s">
        <v>135</v>
      </c>
    </row>
    <row r="8">
      <c r="A8" s="58" t="s">
        <v>136</v>
      </c>
    </row>
    <row r="9">
      <c r="A9" s="58" t="s">
        <v>137</v>
      </c>
    </row>
    <row r="11">
      <c r="A11" s="34" t="s">
        <v>138</v>
      </c>
      <c r="B11" s="34">
        <v>9.42</v>
      </c>
    </row>
    <row r="13">
      <c r="A13" s="34" t="s">
        <v>139</v>
      </c>
      <c r="E13" s="34" t="s">
        <v>140</v>
      </c>
    </row>
    <row r="14">
      <c r="A14" s="59" t="s">
        <v>141</v>
      </c>
      <c r="B14" s="60" t="s">
        <v>142</v>
      </c>
      <c r="C14" s="60" t="s">
        <v>143</v>
      </c>
      <c r="D14" s="60" t="s">
        <v>144</v>
      </c>
      <c r="F14" s="34" t="s">
        <v>145</v>
      </c>
    </row>
    <row r="15">
      <c r="A15" s="59" t="s">
        <v>146</v>
      </c>
      <c r="B15" s="61">
        <v>26.1</v>
      </c>
      <c r="C15" s="61">
        <v>1.32233559604642</v>
      </c>
      <c r="D15" s="61">
        <v>3.49857113690718</v>
      </c>
    </row>
    <row r="16">
      <c r="A16" s="59" t="s">
        <v>147</v>
      </c>
      <c r="B16" s="61">
        <v>50.1814285714286</v>
      </c>
      <c r="C16" s="61">
        <v>0.73030140083011</v>
      </c>
      <c r="D16" s="61">
        <v>1.93219588871857</v>
      </c>
    </row>
    <row r="17">
      <c r="A17" s="59" t="s">
        <v>148</v>
      </c>
      <c r="B17" s="61">
        <v>18.1</v>
      </c>
      <c r="C17" s="61">
        <v>1.8366091945031</v>
      </c>
      <c r="D17" s="61">
        <v>4.85921118426986</v>
      </c>
      <c r="F17" s="34">
        <v>18.0</v>
      </c>
      <c r="G17" s="34">
        <v>9.0</v>
      </c>
    </row>
    <row r="18">
      <c r="A18" s="59" t="s">
        <v>149</v>
      </c>
      <c r="B18" s="61">
        <v>11.84</v>
      </c>
      <c r="C18" s="61">
        <v>1.54356421187798</v>
      </c>
      <c r="D18" s="61">
        <v>4.08388703728854</v>
      </c>
      <c r="F18" s="34">
        <v>12.0</v>
      </c>
      <c r="G18" s="34">
        <v>6.0</v>
      </c>
    </row>
    <row r="19">
      <c r="A19" s="59" t="s">
        <v>150</v>
      </c>
      <c r="B19" s="61">
        <v>1.94428571428571</v>
      </c>
      <c r="C19" s="61">
        <v>0.0699951407448485</v>
      </c>
      <c r="D19" s="61">
        <v>0.185189735393834</v>
      </c>
      <c r="F19" s="34">
        <v>2.0</v>
      </c>
      <c r="G19" s="34">
        <v>1.0</v>
      </c>
    </row>
    <row r="20">
      <c r="A20" s="59" t="s">
        <v>151</v>
      </c>
      <c r="B20" s="61">
        <v>61.4117647058824</v>
      </c>
      <c r="C20" s="61">
        <v>17.4355915569612</v>
      </c>
      <c r="D20" s="61">
        <v>4.22875209614579</v>
      </c>
      <c r="F20" s="34">
        <v>61.0</v>
      </c>
    </row>
    <row r="21">
      <c r="A21" s="59" t="s">
        <v>152</v>
      </c>
      <c r="B21" s="61">
        <v>46.9835294117647</v>
      </c>
      <c r="C21" s="61">
        <v>2.80753437462587</v>
      </c>
      <c r="D21" s="61">
        <v>0.680927104360876</v>
      </c>
    </row>
    <row r="22">
      <c r="A22" s="59" t="s">
        <v>153</v>
      </c>
      <c r="B22" s="61">
        <v>0.827058823529412</v>
      </c>
      <c r="C22" s="61">
        <v>0.254110328053642</v>
      </c>
      <c r="D22" s="61">
        <v>0.0616308072426776</v>
      </c>
    </row>
    <row r="24">
      <c r="A24" s="34" t="s">
        <v>154</v>
      </c>
      <c r="B24" s="34" t="s">
        <v>155</v>
      </c>
    </row>
    <row r="25">
      <c r="A25" s="34"/>
      <c r="B25" s="34"/>
    </row>
    <row r="26">
      <c r="A26" s="62" t="s">
        <v>156</v>
      </c>
    </row>
    <row r="29">
      <c r="A29" s="34" t="s">
        <v>157</v>
      </c>
    </row>
    <row r="30">
      <c r="A30" s="34" t="s">
        <v>158</v>
      </c>
    </row>
    <row r="31">
      <c r="A31" s="34" t="s">
        <v>159</v>
      </c>
    </row>
  </sheetData>
  <hyperlinks>
    <hyperlink r:id="rId1" ref="A26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3" t="s">
        <v>160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</row>
    <row r="2">
      <c r="A2" s="64" t="s">
        <v>161</v>
      </c>
      <c r="B2" s="64" t="s">
        <v>162</v>
      </c>
      <c r="C2" s="64"/>
      <c r="D2" s="64"/>
      <c r="E2" s="64"/>
      <c r="F2" s="64"/>
      <c r="G2" s="64"/>
      <c r="H2" s="64"/>
      <c r="I2" s="64"/>
      <c r="J2" s="64"/>
      <c r="K2" s="64"/>
      <c r="L2" s="64"/>
    </row>
    <row r="3">
      <c r="A3" s="65">
        <v>14000.0</v>
      </c>
      <c r="B3" s="66">
        <f>(A3/1000)/F10</f>
        <v>0.0376344086</v>
      </c>
      <c r="C3" s="64">
        <f>B3/7</f>
        <v>0.005376344086</v>
      </c>
      <c r="D3" s="64"/>
      <c r="E3" s="64"/>
      <c r="F3" s="64"/>
      <c r="G3" s="64"/>
      <c r="H3" s="64"/>
      <c r="I3" s="64"/>
      <c r="J3" s="64"/>
      <c r="K3" s="64"/>
      <c r="L3" s="64"/>
    </row>
    <row r="4">
      <c r="A4" s="67" t="s">
        <v>163</v>
      </c>
      <c r="B4" s="67">
        <v>0.005</v>
      </c>
      <c r="C4" s="64"/>
      <c r="D4" s="64"/>
      <c r="E4" s="64"/>
      <c r="F4" s="64"/>
      <c r="G4" s="64"/>
      <c r="H4" s="64"/>
      <c r="I4" s="64"/>
      <c r="J4" s="64"/>
      <c r="K4" s="64"/>
      <c r="L4" s="64"/>
    </row>
    <row r="5">
      <c r="A5" s="68" t="s">
        <v>164</v>
      </c>
      <c r="B5" s="64" t="s">
        <v>165</v>
      </c>
      <c r="C5" s="68" t="s">
        <v>166</v>
      </c>
      <c r="D5" s="68" t="s">
        <v>167</v>
      </c>
      <c r="E5" s="69" t="s">
        <v>168</v>
      </c>
      <c r="F5" s="69" t="s">
        <v>169</v>
      </c>
      <c r="G5" s="68" t="s">
        <v>170</v>
      </c>
      <c r="H5" s="68" t="s">
        <v>171</v>
      </c>
      <c r="I5" s="64"/>
      <c r="J5" s="68" t="s">
        <v>172</v>
      </c>
      <c r="K5" s="68" t="s">
        <v>173</v>
      </c>
      <c r="L5" s="68" t="s">
        <v>174</v>
      </c>
    </row>
    <row r="6">
      <c r="A6" s="64" t="s">
        <v>175</v>
      </c>
      <c r="B6" s="64" t="s">
        <v>176</v>
      </c>
      <c r="C6" s="66">
        <v>4.0</v>
      </c>
      <c r="D6" s="66">
        <v>180.16</v>
      </c>
      <c r="E6" s="66">
        <f>6*12</f>
        <v>72</v>
      </c>
      <c r="F6" s="66">
        <f t="shared" ref="F6:F8" si="1">C6*E6</f>
        <v>288</v>
      </c>
      <c r="G6" s="66">
        <f t="shared" ref="G6:G8" si="2">$B$3*C6*D6</f>
        <v>27.12086022</v>
      </c>
      <c r="H6" s="66">
        <f t="shared" ref="H6:H8" si="3">G6*(E6/D6)</f>
        <v>10.83870968</v>
      </c>
      <c r="I6" s="64"/>
      <c r="J6" s="70">
        <f t="shared" ref="J6:J8" si="4">G6*$C$13/1000</f>
        <v>13.56043011</v>
      </c>
      <c r="K6" s="71">
        <f t="shared" ref="K6:K8" si="5">J6/2</f>
        <v>6.780215054</v>
      </c>
      <c r="L6" s="72">
        <f t="shared" ref="L6:L8" si="6">K6*1000</f>
        <v>6780.215054</v>
      </c>
    </row>
    <row r="7">
      <c r="A7" s="64" t="s">
        <v>177</v>
      </c>
      <c r="B7" s="64" t="s">
        <v>178</v>
      </c>
      <c r="C7" s="66">
        <v>2.0</v>
      </c>
      <c r="D7" s="66">
        <v>128.05</v>
      </c>
      <c r="E7" s="66">
        <f>2*12</f>
        <v>24</v>
      </c>
      <c r="F7" s="66">
        <f t="shared" si="1"/>
        <v>48</v>
      </c>
      <c r="G7" s="66">
        <f t="shared" si="2"/>
        <v>9.638172043</v>
      </c>
      <c r="H7" s="66">
        <f t="shared" si="3"/>
        <v>1.806451613</v>
      </c>
      <c r="I7" s="64"/>
      <c r="J7" s="70">
        <f t="shared" si="4"/>
        <v>4.819086022</v>
      </c>
      <c r="K7" s="71">
        <f t="shared" si="5"/>
        <v>2.409543011</v>
      </c>
      <c r="L7" s="72">
        <f t="shared" si="6"/>
        <v>2409.543011</v>
      </c>
    </row>
    <row r="8">
      <c r="A8" s="64" t="s">
        <v>179</v>
      </c>
      <c r="B8" s="73" t="s">
        <v>180</v>
      </c>
      <c r="C8" s="66">
        <v>1.0</v>
      </c>
      <c r="D8" s="66">
        <v>89.09</v>
      </c>
      <c r="E8" s="66">
        <f>3*12</f>
        <v>36</v>
      </c>
      <c r="F8" s="66">
        <f t="shared" si="1"/>
        <v>36</v>
      </c>
      <c r="G8" s="66">
        <f t="shared" si="2"/>
        <v>3.352849462</v>
      </c>
      <c r="H8" s="66">
        <f t="shared" si="3"/>
        <v>1.35483871</v>
      </c>
      <c r="I8" s="64"/>
      <c r="J8" s="70">
        <f t="shared" si="4"/>
        <v>1.676424731</v>
      </c>
      <c r="K8" s="71">
        <f t="shared" si="5"/>
        <v>0.8382123656</v>
      </c>
      <c r="L8" s="72">
        <f t="shared" si="6"/>
        <v>838.2123656</v>
      </c>
    </row>
    <row r="9">
      <c r="A9" s="64"/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</row>
    <row r="10">
      <c r="A10" s="64"/>
      <c r="B10" s="64"/>
      <c r="C10" s="64"/>
      <c r="D10" s="64"/>
      <c r="E10" s="68" t="s">
        <v>181</v>
      </c>
      <c r="F10" s="66">
        <f>SUM(F6:F8)</f>
        <v>372</v>
      </c>
      <c r="G10" s="64"/>
      <c r="H10" s="66">
        <f>SUM(H6:H8)</f>
        <v>14</v>
      </c>
      <c r="I10" s="64"/>
      <c r="J10" s="64"/>
      <c r="K10" s="64"/>
      <c r="L10" s="64"/>
    </row>
    <row r="11">
      <c r="A11" s="64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</row>
    <row r="12">
      <c r="A12" s="64" t="s">
        <v>182</v>
      </c>
      <c r="B12" s="64" t="s">
        <v>183</v>
      </c>
      <c r="C12" s="64" t="s">
        <v>184</v>
      </c>
      <c r="D12" s="64"/>
      <c r="E12" s="64"/>
      <c r="F12" s="64"/>
      <c r="G12" s="64"/>
      <c r="H12" s="64"/>
      <c r="I12" s="64"/>
      <c r="J12" s="64"/>
      <c r="K12" s="64"/>
      <c r="L12" s="64"/>
    </row>
    <row r="13">
      <c r="A13" s="66">
        <v>1.2694803061248003</v>
      </c>
      <c r="B13" s="71">
        <f>A13*1000/A3</f>
        <v>0.09067716472</v>
      </c>
      <c r="C13" s="66">
        <v>500.0</v>
      </c>
      <c r="D13" s="64" t="s">
        <v>185</v>
      </c>
      <c r="E13" s="64"/>
      <c r="F13" s="64"/>
      <c r="G13" s="64"/>
      <c r="H13" s="64"/>
      <c r="I13" s="64"/>
      <c r="J13" s="64"/>
      <c r="K13" s="64"/>
      <c r="L13" s="64"/>
    </row>
    <row r="14">
      <c r="A14" s="64"/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</row>
    <row r="15">
      <c r="A15" s="64"/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</row>
    <row r="16">
      <c r="A16" s="64" t="s">
        <v>186</v>
      </c>
      <c r="B16" s="74">
        <f>132/14</f>
        <v>9.428571429</v>
      </c>
      <c r="C16" s="64"/>
      <c r="D16" s="64"/>
      <c r="E16" s="64"/>
      <c r="F16" s="64"/>
      <c r="G16" s="64"/>
      <c r="H16" s="64"/>
      <c r="I16" s="64"/>
      <c r="J16" s="64"/>
      <c r="K16" s="64"/>
      <c r="L16" s="64"/>
    </row>
    <row r="24">
      <c r="A24" s="62" t="s">
        <v>187</v>
      </c>
    </row>
    <row r="25">
      <c r="C25" s="34" t="s">
        <v>188</v>
      </c>
    </row>
    <row r="28">
      <c r="A28" s="34" t="s">
        <v>189</v>
      </c>
    </row>
    <row r="30">
      <c r="A30" s="34" t="s">
        <v>190</v>
      </c>
    </row>
    <row r="31">
      <c r="A31" s="34" t="s">
        <v>191</v>
      </c>
    </row>
    <row r="32">
      <c r="A32" s="34" t="s">
        <v>192</v>
      </c>
    </row>
    <row r="35">
      <c r="A35" s="34" t="s">
        <v>193</v>
      </c>
      <c r="C35" s="75">
        <f>14/12.01</f>
        <v>1.165695254</v>
      </c>
      <c r="D35" s="34" t="s">
        <v>194</v>
      </c>
    </row>
    <row r="36">
      <c r="A36" s="34" t="s">
        <v>195</v>
      </c>
      <c r="D36" s="34" t="s">
        <v>196</v>
      </c>
    </row>
    <row r="37">
      <c r="A37" s="75">
        <f>5*14</f>
        <v>70</v>
      </c>
      <c r="B37" s="34" t="s">
        <v>197</v>
      </c>
    </row>
    <row r="39">
      <c r="A39" s="34" t="s">
        <v>198</v>
      </c>
    </row>
    <row r="41">
      <c r="B41" s="34" t="s">
        <v>199</v>
      </c>
      <c r="C41" s="34" t="s">
        <v>200</v>
      </c>
    </row>
    <row r="42">
      <c r="C42" s="34" t="s">
        <v>201</v>
      </c>
    </row>
  </sheetData>
  <hyperlinks>
    <hyperlink r:id="rId2" location="query=C3H7NO2" ref="B8"/>
    <hyperlink r:id="rId3" ref="A24"/>
  </hyperlinks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2.63" defaultRowHeight="15.75"/>
  <sheetData>
    <row r="1">
      <c r="A1" s="68"/>
      <c r="B1" s="64"/>
      <c r="C1" s="68"/>
      <c r="D1" s="68"/>
      <c r="E1" s="69"/>
      <c r="F1" s="69"/>
      <c r="G1" s="69"/>
      <c r="H1" s="69"/>
      <c r="I1" s="68"/>
      <c r="J1" s="69"/>
      <c r="K1" s="68"/>
      <c r="L1" s="69"/>
      <c r="M1" s="68"/>
      <c r="N1" s="68"/>
      <c r="O1" s="68"/>
      <c r="P1" s="64"/>
      <c r="Q1" s="68"/>
      <c r="R1" s="68"/>
      <c r="S1" s="68"/>
      <c r="T1" s="68"/>
    </row>
    <row r="2">
      <c r="A2" s="69" t="s">
        <v>202</v>
      </c>
      <c r="B2" s="69" t="s">
        <v>203</v>
      </c>
      <c r="C2" s="69" t="s">
        <v>204</v>
      </c>
      <c r="D2" s="69" t="s">
        <v>205</v>
      </c>
      <c r="E2" s="69" t="s">
        <v>206</v>
      </c>
      <c r="F2" s="69" t="s">
        <v>207</v>
      </c>
      <c r="G2" s="76" t="s">
        <v>208</v>
      </c>
      <c r="H2" s="76"/>
      <c r="I2" s="76" t="s">
        <v>209</v>
      </c>
      <c r="J2" s="69" t="s">
        <v>210</v>
      </c>
      <c r="K2" s="69" t="s">
        <v>211</v>
      </c>
      <c r="L2" s="69" t="s">
        <v>212</v>
      </c>
      <c r="M2" s="67"/>
      <c r="N2" s="67"/>
      <c r="O2" s="64"/>
      <c r="P2" s="64"/>
      <c r="Q2" s="64"/>
      <c r="R2" s="64"/>
      <c r="S2" s="64"/>
      <c r="T2" s="64"/>
      <c r="U2" s="64"/>
      <c r="V2" s="64"/>
      <c r="W2" s="64"/>
      <c r="X2" s="64"/>
    </row>
    <row r="3">
      <c r="A3" s="65">
        <v>0.07</v>
      </c>
      <c r="B3" s="65">
        <v>5.0</v>
      </c>
      <c r="C3" s="65">
        <f>A3/B3</f>
        <v>0.014</v>
      </c>
      <c r="D3" s="65">
        <f>(C3/1000)/(1/1000000)</f>
        <v>14</v>
      </c>
      <c r="E3" s="65">
        <f>A3*(1/12.01)*(1/1000)*1000000</f>
        <v>5.82847627</v>
      </c>
      <c r="F3" s="65">
        <f>E3/B3</f>
        <v>1.165695254</v>
      </c>
      <c r="G3" s="65">
        <f>F3/29</f>
        <v>0.04019638807</v>
      </c>
      <c r="H3" s="65"/>
      <c r="I3" s="65">
        <f>6*32*(5/1000000)*4*1000</f>
        <v>3.84</v>
      </c>
      <c r="J3" s="65">
        <f>1*32*(5/1000000)*4*1000</f>
        <v>0.64</v>
      </c>
      <c r="K3" s="65">
        <v>4.0</v>
      </c>
      <c r="L3" s="65">
        <v>0.7</v>
      </c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</row>
    <row r="4">
      <c r="A4" s="77" t="s">
        <v>164</v>
      </c>
      <c r="B4" s="78" t="s">
        <v>165</v>
      </c>
      <c r="C4" s="77" t="s">
        <v>166</v>
      </c>
      <c r="D4" s="79" t="s">
        <v>213</v>
      </c>
      <c r="E4" s="79" t="s">
        <v>214</v>
      </c>
      <c r="F4" s="79" t="s">
        <v>215</v>
      </c>
      <c r="G4" s="80" t="s">
        <v>216</v>
      </c>
      <c r="H4" s="80" t="s">
        <v>217</v>
      </c>
      <c r="I4" s="79" t="s">
        <v>218</v>
      </c>
      <c r="J4" s="79" t="s">
        <v>219</v>
      </c>
      <c r="K4" s="79" t="s">
        <v>220</v>
      </c>
      <c r="L4" s="79" t="s">
        <v>221</v>
      </c>
      <c r="M4" s="79" t="s">
        <v>222</v>
      </c>
      <c r="N4" s="79" t="s">
        <v>223</v>
      </c>
      <c r="O4" s="79" t="s">
        <v>224</v>
      </c>
      <c r="P4" s="79" t="s">
        <v>225</v>
      </c>
      <c r="Q4" s="79" t="s">
        <v>226</v>
      </c>
      <c r="R4" s="79" t="s">
        <v>227</v>
      </c>
      <c r="S4" s="79" t="s">
        <v>228</v>
      </c>
      <c r="T4" s="79" t="s">
        <v>229</v>
      </c>
      <c r="U4" s="79" t="s">
        <v>230</v>
      </c>
      <c r="V4" s="77"/>
      <c r="W4" s="77"/>
      <c r="X4" s="79"/>
      <c r="Y4" s="79"/>
    </row>
    <row r="5">
      <c r="A5" s="64" t="s">
        <v>175</v>
      </c>
      <c r="B5" s="64" t="s">
        <v>176</v>
      </c>
      <c r="C5" s="66">
        <v>4.0</v>
      </c>
      <c r="D5" s="65">
        <f t="shared" ref="D5:D7" si="1">C5/SUM($C$5:$C$7)</f>
        <v>0.5714285714</v>
      </c>
      <c r="E5" s="66">
        <f>(12.01*6) + (1* 12) + (16*6)</f>
        <v>180.06</v>
      </c>
      <c r="F5" s="81">
        <f>(13*6) + (1* 12) + (16*6)</f>
        <v>186</v>
      </c>
      <c r="G5" s="65">
        <v>6.0</v>
      </c>
      <c r="H5" s="81">
        <v>0.0</v>
      </c>
      <c r="I5" s="66">
        <f t="shared" ref="I5:I7" si="2">(12.01*G5)*D5/SUM($D$5:$D$7)</f>
        <v>41.17714286</v>
      </c>
      <c r="J5" s="65">
        <v>0.0</v>
      </c>
      <c r="K5" s="66">
        <f t="shared" ref="K5:K7" si="3">I5/SUM($I$5:$I$7)</f>
        <v>0.7741935484</v>
      </c>
      <c r="L5" s="66">
        <f t="shared" ref="L5:L7" si="4">K5*$D$3</f>
        <v>10.83870968</v>
      </c>
      <c r="M5" s="66">
        <f t="shared" ref="M5:M7" si="5">L5/12.01</f>
        <v>0.902473745</v>
      </c>
      <c r="N5" s="66">
        <f t="shared" ref="N5:N7" si="6">M5*(1/G5)</f>
        <v>0.1504122908</v>
      </c>
      <c r="O5" s="66">
        <f t="shared" ref="O5:O7" si="7">N5*E5</f>
        <v>27.08323709</v>
      </c>
      <c r="P5" s="82">
        <f t="shared" ref="P5:P7" si="8">O5*($K$3/1000)</f>
        <v>0.1083329483</v>
      </c>
      <c r="Q5" s="83">
        <f t="shared" ref="Q5:Q7" si="9">P5*1000</f>
        <v>108.3329483</v>
      </c>
      <c r="R5" s="66">
        <f t="shared" ref="R5:R7" si="10">N5*F5</f>
        <v>27.97668609</v>
      </c>
      <c r="S5" s="66">
        <f t="shared" ref="S5:S7" si="11">R5*($L$3/1000)</f>
        <v>0.01958368027</v>
      </c>
      <c r="T5" s="83">
        <f t="shared" ref="T5:T7" si="12">S5*1000</f>
        <v>19.58368027</v>
      </c>
      <c r="U5" s="84">
        <f t="shared" ref="U5:U7" si="13">O5*($L$3)</f>
        <v>18.95826596</v>
      </c>
      <c r="V5" s="70"/>
      <c r="W5" s="70"/>
      <c r="X5" s="72"/>
      <c r="Y5" s="72"/>
    </row>
    <row r="6">
      <c r="A6" s="64" t="s">
        <v>177</v>
      </c>
      <c r="B6" s="64" t="s">
        <v>178</v>
      </c>
      <c r="C6" s="66">
        <v>2.0</v>
      </c>
      <c r="D6" s="65">
        <f t="shared" si="1"/>
        <v>0.2857142857</v>
      </c>
      <c r="E6" s="66">
        <f>(12.01*2) + (1* 2) + (16*4) + (2*18.02)</f>
        <v>126.06</v>
      </c>
      <c r="F6" s="66">
        <f>(13*2) + (1* 2) + (16*4) + (2*18.02)</f>
        <v>128.04</v>
      </c>
      <c r="G6" s="65">
        <v>2.0</v>
      </c>
      <c r="H6" s="81">
        <v>0.0</v>
      </c>
      <c r="I6" s="66">
        <f t="shared" si="2"/>
        <v>6.862857143</v>
      </c>
      <c r="J6" s="65">
        <v>0.0</v>
      </c>
      <c r="K6" s="66">
        <f t="shared" si="3"/>
        <v>0.1290322581</v>
      </c>
      <c r="L6" s="66">
        <f t="shared" si="4"/>
        <v>1.806451613</v>
      </c>
      <c r="M6" s="66">
        <f t="shared" si="5"/>
        <v>0.1504122908</v>
      </c>
      <c r="N6" s="66">
        <f t="shared" si="6"/>
        <v>0.07520614542</v>
      </c>
      <c r="O6" s="66">
        <f t="shared" si="7"/>
        <v>9.480486691</v>
      </c>
      <c r="P6" s="82">
        <f t="shared" si="8"/>
        <v>0.03792194676</v>
      </c>
      <c r="Q6" s="83">
        <f t="shared" si="9"/>
        <v>37.92194676</v>
      </c>
      <c r="R6" s="66">
        <f t="shared" si="10"/>
        <v>9.629394859</v>
      </c>
      <c r="S6" s="66">
        <f t="shared" si="11"/>
        <v>0.006740576401</v>
      </c>
      <c r="T6" s="83">
        <f t="shared" si="12"/>
        <v>6.740576401</v>
      </c>
      <c r="U6" s="84">
        <f t="shared" si="13"/>
        <v>6.636340684</v>
      </c>
      <c r="V6" s="70"/>
      <c r="W6" s="70"/>
      <c r="X6" s="72"/>
      <c r="Y6" s="72"/>
    </row>
    <row r="7">
      <c r="A7" s="64" t="s">
        <v>179</v>
      </c>
      <c r="B7" s="73" t="s">
        <v>180</v>
      </c>
      <c r="C7" s="66">
        <v>1.0</v>
      </c>
      <c r="D7" s="65">
        <f t="shared" si="1"/>
        <v>0.1428571429</v>
      </c>
      <c r="E7" s="66">
        <f>(12.01*3) + (1* 7) + (14.01 *1) + (16*2)</f>
        <v>89.04</v>
      </c>
      <c r="F7" s="66">
        <f>(13*3) + (1* 7) + (14.01 *1) + (16*2)</f>
        <v>92.01</v>
      </c>
      <c r="G7" s="65">
        <v>3.0</v>
      </c>
      <c r="H7" s="81">
        <v>1.0</v>
      </c>
      <c r="I7" s="66">
        <f t="shared" si="2"/>
        <v>5.147142857</v>
      </c>
      <c r="J7" s="66">
        <f>(14.01*H7)*D7/SUM($D$5:$D$7)</f>
        <v>2.001428571</v>
      </c>
      <c r="K7" s="66">
        <f t="shared" si="3"/>
        <v>0.09677419355</v>
      </c>
      <c r="L7" s="66">
        <f t="shared" si="4"/>
        <v>1.35483871</v>
      </c>
      <c r="M7" s="66">
        <f t="shared" si="5"/>
        <v>0.1128092181</v>
      </c>
      <c r="N7" s="66">
        <f t="shared" si="6"/>
        <v>0.03760307271</v>
      </c>
      <c r="O7" s="66">
        <f t="shared" si="7"/>
        <v>3.348177594</v>
      </c>
      <c r="P7" s="82">
        <f t="shared" si="8"/>
        <v>0.01339271038</v>
      </c>
      <c r="Q7" s="83">
        <f t="shared" si="9"/>
        <v>13.39271038</v>
      </c>
      <c r="R7" s="66">
        <f t="shared" si="10"/>
        <v>3.45985872</v>
      </c>
      <c r="S7" s="66">
        <f t="shared" si="11"/>
        <v>0.002421901104</v>
      </c>
      <c r="T7" s="83">
        <f t="shared" si="12"/>
        <v>2.421901104</v>
      </c>
      <c r="U7" s="84">
        <f t="shared" si="13"/>
        <v>2.343724316</v>
      </c>
      <c r="V7" s="70"/>
      <c r="W7" s="70"/>
      <c r="X7" s="72"/>
      <c r="Y7" s="72"/>
    </row>
    <row r="8">
      <c r="P8" s="66"/>
    </row>
    <row r="10">
      <c r="J10" s="69"/>
      <c r="K10" s="66"/>
      <c r="L10" s="66"/>
    </row>
    <row r="11">
      <c r="N11" s="34" t="s">
        <v>231</v>
      </c>
      <c r="O11" s="34" t="s">
        <v>232</v>
      </c>
      <c r="P11" s="34" t="s">
        <v>233</v>
      </c>
    </row>
    <row r="12">
      <c r="M12" s="69" t="s">
        <v>234</v>
      </c>
      <c r="N12" s="66">
        <f t="shared" ref="N12:O12" si="14">SUM(I5:I7)</f>
        <v>53.18714286</v>
      </c>
      <c r="O12" s="66">
        <f t="shared" si="14"/>
        <v>2.001428571</v>
      </c>
      <c r="P12" s="75">
        <f>N12/O12</f>
        <v>26.57458958</v>
      </c>
    </row>
    <row r="14">
      <c r="A14" s="64"/>
      <c r="B14" s="64"/>
      <c r="C14" s="64"/>
      <c r="D14" s="64"/>
    </row>
    <row r="15">
      <c r="A15" s="66"/>
      <c r="B15" s="71"/>
      <c r="C15" s="65"/>
      <c r="D15" s="64"/>
      <c r="T15" s="85"/>
    </row>
    <row r="16">
      <c r="T16" s="85"/>
    </row>
    <row r="19">
      <c r="T19" s="86"/>
    </row>
    <row r="20">
      <c r="A20" s="34" t="s">
        <v>235</v>
      </c>
    </row>
    <row r="21">
      <c r="A21" s="34" t="s">
        <v>236</v>
      </c>
    </row>
    <row r="28">
      <c r="A28" s="57"/>
      <c r="B28" s="57"/>
      <c r="C28" s="57"/>
    </row>
    <row r="29">
      <c r="I29" s="57"/>
    </row>
    <row r="30">
      <c r="E30" s="61"/>
      <c r="F30" s="61"/>
      <c r="G30" s="61"/>
      <c r="H30" s="61"/>
      <c r="I30" s="87"/>
    </row>
    <row r="60">
      <c r="J60" s="34" t="s">
        <v>237</v>
      </c>
    </row>
    <row r="61">
      <c r="J61" s="34" t="s">
        <v>238</v>
      </c>
    </row>
    <row r="65">
      <c r="J65" s="34">
        <f>9/5.025</f>
        <v>1.791044776</v>
      </c>
    </row>
  </sheetData>
  <hyperlinks>
    <hyperlink r:id="rId2" location="query=C3H7NO2" ref="B7"/>
  </hyperlinks>
  <drawing r:id="rId3"/>
  <legacy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8"/>
      <c r="B1" s="64"/>
      <c r="C1" s="68"/>
      <c r="D1" s="68"/>
      <c r="E1" s="69"/>
      <c r="F1" s="69"/>
      <c r="G1" s="69"/>
      <c r="H1" s="68"/>
      <c r="I1" s="69"/>
      <c r="J1" s="68"/>
      <c r="K1" s="69"/>
      <c r="L1" s="68"/>
      <c r="M1" s="68"/>
      <c r="N1" s="68"/>
      <c r="O1" s="64"/>
      <c r="P1" s="68"/>
      <c r="Q1" s="68"/>
      <c r="R1" s="68"/>
      <c r="S1" s="68"/>
    </row>
    <row r="2">
      <c r="A2" s="69" t="s">
        <v>239</v>
      </c>
      <c r="B2" s="64" t="s">
        <v>162</v>
      </c>
      <c r="C2" s="67"/>
      <c r="D2" s="67" t="s">
        <v>240</v>
      </c>
      <c r="E2" s="64"/>
      <c r="F2" s="64"/>
      <c r="G2" s="64"/>
      <c r="H2" s="64"/>
      <c r="I2" s="64"/>
      <c r="J2" s="64"/>
      <c r="K2" s="64"/>
      <c r="L2" s="64"/>
      <c r="M2" s="64"/>
      <c r="N2" s="64"/>
    </row>
    <row r="3">
      <c r="A3" s="65">
        <f>(14/1000)*10000</f>
        <v>140</v>
      </c>
      <c r="B3" s="66">
        <f>(A3/1000)/J10</f>
        <v>0.00005859113432</v>
      </c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</row>
    <row r="4">
      <c r="A4" s="77" t="s">
        <v>164</v>
      </c>
      <c r="B4" s="78" t="s">
        <v>165</v>
      </c>
      <c r="C4" s="77" t="s">
        <v>166</v>
      </c>
      <c r="D4" s="77" t="s">
        <v>167</v>
      </c>
      <c r="E4" s="79" t="s">
        <v>241</v>
      </c>
      <c r="F4" s="79" t="s">
        <v>216</v>
      </c>
      <c r="G4" s="79" t="s">
        <v>217</v>
      </c>
      <c r="H4" s="79" t="s">
        <v>242</v>
      </c>
      <c r="I4" s="79" t="s">
        <v>243</v>
      </c>
      <c r="J4" s="79" t="s">
        <v>244</v>
      </c>
      <c r="K4" s="79" t="s">
        <v>245</v>
      </c>
      <c r="L4" s="79" t="s">
        <v>246</v>
      </c>
      <c r="M4" s="79" t="s">
        <v>247</v>
      </c>
      <c r="N4" s="77" t="s">
        <v>171</v>
      </c>
      <c r="O4" s="79" t="s">
        <v>248</v>
      </c>
      <c r="P4" s="77" t="s">
        <v>172</v>
      </c>
      <c r="Q4" s="77" t="s">
        <v>173</v>
      </c>
      <c r="R4" s="79" t="s">
        <v>249</v>
      </c>
      <c r="S4" s="79" t="s">
        <v>250</v>
      </c>
    </row>
    <row r="5">
      <c r="A5" s="67" t="s">
        <v>157</v>
      </c>
      <c r="B5" s="62" t="s">
        <v>251</v>
      </c>
      <c r="C5" s="65">
        <f>12*D10</f>
        <v>6</v>
      </c>
      <c r="D5" s="65">
        <f>(12*9) + (1* 10.2) + (16*3.4)</f>
        <v>172.6</v>
      </c>
      <c r="E5" s="65">
        <f>(13*9) + (1* 10.2) + (16*3.4)</f>
        <v>181.6</v>
      </c>
      <c r="F5" s="65">
        <v>9.0</v>
      </c>
      <c r="G5" s="65">
        <v>0.0</v>
      </c>
      <c r="H5" s="66">
        <f t="shared" ref="H5:H7" si="2">12*F5</f>
        <v>108</v>
      </c>
      <c r="I5" s="66">
        <f t="shared" ref="I5:I7" si="3">14*G5</f>
        <v>0</v>
      </c>
      <c r="J5" s="66">
        <f t="shared" ref="J5:J7" si="4">C5*H5</f>
        <v>648</v>
      </c>
      <c r="K5" s="66">
        <f t="shared" ref="K5:K7" si="5">C5*I5</f>
        <v>0</v>
      </c>
      <c r="L5" s="66">
        <f t="shared" ref="L5:L7" si="6">$B$3*C5*D5</f>
        <v>0.06067697871</v>
      </c>
      <c r="M5" s="66">
        <f t="shared" ref="M5:M7" si="7">$B$3*C5*E5</f>
        <v>0.06384089996</v>
      </c>
      <c r="N5" s="66">
        <f t="shared" ref="N5:N7" si="8">L5*(H5/D5)</f>
        <v>0.03796705504</v>
      </c>
      <c r="O5" s="66">
        <f t="shared" ref="O5:O7" si="9">L5*(I5/D5)</f>
        <v>0</v>
      </c>
      <c r="P5" s="70">
        <f t="shared" ref="P5:P7" si="10">L5*$C$15/1000</f>
        <v>0.02742599438</v>
      </c>
      <c r="Q5" s="70">
        <f t="shared" ref="Q5:Q7" si="11">M5*$C$17/1000</f>
        <v>0.0004085817597</v>
      </c>
      <c r="R5" s="72">
        <f t="shared" ref="R5:S5" si="1">P5*1000</f>
        <v>27.42599438</v>
      </c>
      <c r="S5" s="72">
        <f t="shared" si="1"/>
        <v>0.4085817597</v>
      </c>
    </row>
    <row r="6">
      <c r="A6" s="67" t="s">
        <v>158</v>
      </c>
      <c r="B6" s="67" t="s">
        <v>252</v>
      </c>
      <c r="C6" s="65">
        <f>18*D10</f>
        <v>9</v>
      </c>
      <c r="D6" s="34">
        <v>342.3</v>
      </c>
      <c r="E6" s="65">
        <f>(13*12) + (1*22) + (16*11)</f>
        <v>354</v>
      </c>
      <c r="F6" s="65">
        <v>12.0</v>
      </c>
      <c r="G6" s="65">
        <v>0.0</v>
      </c>
      <c r="H6" s="66">
        <f t="shared" si="2"/>
        <v>144</v>
      </c>
      <c r="I6" s="66">
        <f t="shared" si="3"/>
        <v>0</v>
      </c>
      <c r="J6" s="66">
        <f t="shared" si="4"/>
        <v>1296</v>
      </c>
      <c r="K6" s="66">
        <f t="shared" si="5"/>
        <v>0</v>
      </c>
      <c r="L6" s="66">
        <f t="shared" si="6"/>
        <v>0.1805017075</v>
      </c>
      <c r="M6" s="66">
        <f t="shared" si="7"/>
        <v>0.186671354</v>
      </c>
      <c r="N6" s="66">
        <f t="shared" si="8"/>
        <v>0.07593411008</v>
      </c>
      <c r="O6" s="66">
        <f t="shared" si="9"/>
        <v>0</v>
      </c>
      <c r="P6" s="70">
        <f t="shared" si="10"/>
        <v>0.0815867718</v>
      </c>
      <c r="Q6" s="70">
        <f t="shared" si="11"/>
        <v>0.001194696665</v>
      </c>
      <c r="R6" s="72">
        <f t="shared" ref="R6:S6" si="12">P6*1000</f>
        <v>81.5867718</v>
      </c>
      <c r="S6" s="72">
        <f t="shared" si="12"/>
        <v>1.194696665</v>
      </c>
    </row>
    <row r="7">
      <c r="A7" s="67" t="s">
        <v>253</v>
      </c>
      <c r="B7" s="62" t="s">
        <v>254</v>
      </c>
      <c r="C7" s="65">
        <f>9.28*D10</f>
        <v>4.64</v>
      </c>
      <c r="D7" s="65">
        <v>221.21</v>
      </c>
      <c r="E7" s="65">
        <f>(13*8) + (1*15) + (14*1) + (16*6)</f>
        <v>229</v>
      </c>
      <c r="F7" s="65">
        <v>8.0</v>
      </c>
      <c r="G7" s="65">
        <v>1.0</v>
      </c>
      <c r="H7" s="66">
        <f t="shared" si="2"/>
        <v>96</v>
      </c>
      <c r="I7" s="66">
        <f t="shared" si="3"/>
        <v>14</v>
      </c>
      <c r="J7" s="66">
        <f t="shared" si="4"/>
        <v>445.44</v>
      </c>
      <c r="K7" s="66">
        <f t="shared" si="5"/>
        <v>64.96</v>
      </c>
      <c r="L7" s="66">
        <f t="shared" si="6"/>
        <v>0.06013878398</v>
      </c>
      <c r="M7" s="66">
        <f t="shared" si="7"/>
        <v>0.06225659569</v>
      </c>
      <c r="N7" s="66">
        <f t="shared" si="8"/>
        <v>0.02609883487</v>
      </c>
      <c r="O7" s="66">
        <f t="shared" si="9"/>
        <v>0.003806080086</v>
      </c>
      <c r="P7" s="70">
        <f t="shared" si="10"/>
        <v>0.02718273036</v>
      </c>
      <c r="Q7" s="70">
        <f t="shared" si="11"/>
        <v>0.0003984422124</v>
      </c>
      <c r="R7" s="72">
        <f t="shared" ref="R7:S7" si="13">P7*1000</f>
        <v>27.18273036</v>
      </c>
      <c r="S7" s="72">
        <f t="shared" si="13"/>
        <v>0.3984422124</v>
      </c>
    </row>
    <row r="9">
      <c r="A9" s="34" t="s">
        <v>255</v>
      </c>
      <c r="B9" s="34" t="s">
        <v>256</v>
      </c>
      <c r="C9" s="34">
        <v>12.0</v>
      </c>
      <c r="D9" s="34" t="s">
        <v>257</v>
      </c>
      <c r="F9" s="75">
        <f>12.01*SUM(F5:F7)/14.01*SUM(G5:G7)</f>
        <v>24.86009993</v>
      </c>
      <c r="J9" s="34" t="s">
        <v>231</v>
      </c>
      <c r="K9" s="34" t="s">
        <v>232</v>
      </c>
      <c r="L9" s="34" t="s">
        <v>233</v>
      </c>
    </row>
    <row r="10">
      <c r="B10" s="34" t="s">
        <v>258</v>
      </c>
      <c r="C10" s="34">
        <v>18.0</v>
      </c>
      <c r="D10" s="34">
        <v>0.5</v>
      </c>
      <c r="I10" s="69" t="s">
        <v>259</v>
      </c>
      <c r="J10" s="66">
        <f t="shared" ref="J10:K10" si="14">SUM(J5:J7)</f>
        <v>2389.44</v>
      </c>
      <c r="K10" s="66">
        <f t="shared" si="14"/>
        <v>64.96</v>
      </c>
      <c r="L10" s="75">
        <f>J10/K10</f>
        <v>36.78325123</v>
      </c>
    </row>
    <row r="11">
      <c r="B11" s="34" t="s">
        <v>260</v>
      </c>
      <c r="C11" s="34" t="s">
        <v>261</v>
      </c>
    </row>
    <row r="12">
      <c r="I12" s="76" t="s">
        <v>262</v>
      </c>
      <c r="J12" s="34">
        <f>J10/372</f>
        <v>6.423225806</v>
      </c>
      <c r="K12" s="34" t="s">
        <v>263</v>
      </c>
      <c r="S12" s="34" t="s">
        <v>264</v>
      </c>
    </row>
    <row r="13">
      <c r="I13" s="34"/>
      <c r="J13" s="34"/>
      <c r="K13" s="34"/>
      <c r="S13" s="34" t="s">
        <v>265</v>
      </c>
      <c r="T13" s="34" t="s">
        <v>266</v>
      </c>
    </row>
    <row r="14">
      <c r="A14" s="64" t="s">
        <v>182</v>
      </c>
      <c r="B14" s="64" t="s">
        <v>183</v>
      </c>
      <c r="C14" s="64" t="s">
        <v>184</v>
      </c>
      <c r="D14" s="64"/>
      <c r="I14" s="34"/>
      <c r="J14" s="34"/>
      <c r="K14" s="34"/>
      <c r="Q14" s="34" t="s">
        <v>267</v>
      </c>
      <c r="R14" s="34" t="s">
        <v>268</v>
      </c>
      <c r="S14" s="34">
        <v>684.0</v>
      </c>
      <c r="T14" s="75">
        <f t="shared" ref="T14:T16" si="15">S14/100</f>
        <v>6.84</v>
      </c>
    </row>
    <row r="15">
      <c r="A15" s="66">
        <v>1.2694803061248003</v>
      </c>
      <c r="B15" s="71">
        <f>A15*1000/A3</f>
        <v>9.067716472</v>
      </c>
      <c r="C15" s="65">
        <f>E20</f>
        <v>452</v>
      </c>
      <c r="D15" s="64" t="s">
        <v>185</v>
      </c>
      <c r="I15" s="34"/>
      <c r="J15" s="34"/>
      <c r="K15" s="34"/>
      <c r="R15" s="34" t="s">
        <v>269</v>
      </c>
      <c r="S15" s="85">
        <v>1897.98</v>
      </c>
      <c r="T15" s="75">
        <f t="shared" si="15"/>
        <v>18.9798</v>
      </c>
    </row>
    <row r="16">
      <c r="C16" s="34" t="s">
        <v>270</v>
      </c>
      <c r="I16" s="34"/>
      <c r="J16" s="34"/>
      <c r="K16" s="34"/>
      <c r="R16" s="34" t="s">
        <v>271</v>
      </c>
      <c r="S16" s="85">
        <v>2328.33</v>
      </c>
      <c r="T16" s="75">
        <f t="shared" si="15"/>
        <v>23.2833</v>
      </c>
    </row>
    <row r="17">
      <c r="C17" s="34">
        <v>6.4</v>
      </c>
      <c r="I17" s="34"/>
      <c r="J17" s="34"/>
      <c r="K17" s="34"/>
    </row>
    <row r="18">
      <c r="I18" s="34"/>
      <c r="J18" s="34"/>
      <c r="K18" s="34"/>
    </row>
    <row r="19">
      <c r="D19" s="34" t="s">
        <v>272</v>
      </c>
      <c r="E19" s="34" t="s">
        <v>273</v>
      </c>
      <c r="F19" s="34" t="s">
        <v>274</v>
      </c>
      <c r="G19" s="34" t="s">
        <v>273</v>
      </c>
      <c r="I19" s="34"/>
      <c r="J19" s="34"/>
      <c r="K19" s="34"/>
      <c r="Q19" s="34" t="s">
        <v>275</v>
      </c>
      <c r="R19" s="34" t="s">
        <v>276</v>
      </c>
      <c r="S19" s="86">
        <v>2980.0</v>
      </c>
      <c r="T19" s="75">
        <f>S19/10</f>
        <v>298</v>
      </c>
    </row>
    <row r="20">
      <c r="D20" s="34" t="s">
        <v>277</v>
      </c>
      <c r="E20" s="75">
        <f>ROUNDUP(0.05*32*47*6)</f>
        <v>452</v>
      </c>
      <c r="F20" s="34" t="s">
        <v>277</v>
      </c>
      <c r="G20" s="75">
        <f>0.05*8*4*4</f>
        <v>6.4</v>
      </c>
      <c r="I20" s="34"/>
      <c r="J20" s="34"/>
      <c r="K20" s="34"/>
    </row>
    <row r="21">
      <c r="A21" s="34" t="s">
        <v>278</v>
      </c>
      <c r="D21" s="34" t="s">
        <v>279</v>
      </c>
      <c r="F21" s="34" t="s">
        <v>280</v>
      </c>
    </row>
    <row r="22">
      <c r="A22" s="34" t="s">
        <v>281</v>
      </c>
      <c r="D22" s="34" t="s">
        <v>282</v>
      </c>
      <c r="F22" s="34" t="s">
        <v>283</v>
      </c>
    </row>
    <row r="23">
      <c r="D23" s="34" t="s">
        <v>284</v>
      </c>
      <c r="F23" s="34" t="s">
        <v>285</v>
      </c>
    </row>
    <row r="24">
      <c r="D24" s="34" t="s">
        <v>286</v>
      </c>
      <c r="Q24" s="34" t="s">
        <v>287</v>
      </c>
    </row>
    <row r="25">
      <c r="A25" s="34" t="s">
        <v>288</v>
      </c>
    </row>
    <row r="26">
      <c r="A26" s="34"/>
    </row>
    <row r="27">
      <c r="A27" s="34" t="s">
        <v>289</v>
      </c>
    </row>
    <row r="28">
      <c r="A28" s="57" t="s">
        <v>290</v>
      </c>
      <c r="B28" s="57" t="s">
        <v>291</v>
      </c>
      <c r="C28" s="57" t="s">
        <v>292</v>
      </c>
    </row>
    <row r="29">
      <c r="A29" s="34" t="s">
        <v>293</v>
      </c>
      <c r="B29" s="34" t="s">
        <v>294</v>
      </c>
      <c r="C29" s="34">
        <v>2.13</v>
      </c>
      <c r="E29" s="34"/>
      <c r="F29" s="34" t="s">
        <v>295</v>
      </c>
      <c r="G29" s="34" t="s">
        <v>296</v>
      </c>
      <c r="H29" s="57" t="s">
        <v>297</v>
      </c>
    </row>
    <row r="30">
      <c r="A30" s="34" t="s">
        <v>293</v>
      </c>
      <c r="B30" s="34" t="s">
        <v>294</v>
      </c>
      <c r="C30" s="34">
        <v>2.33</v>
      </c>
      <c r="E30" s="61"/>
      <c r="F30" s="61">
        <v>26.1</v>
      </c>
      <c r="G30" s="61">
        <v>61.4117647058824</v>
      </c>
      <c r="H30" s="87">
        <f>(C32*F30 + 1*G30)/(C32 + 1)</f>
        <v>36.78973705</v>
      </c>
    </row>
    <row r="31">
      <c r="A31" s="34" t="s">
        <v>298</v>
      </c>
      <c r="B31" s="34" t="s">
        <v>299</v>
      </c>
      <c r="C31" s="34">
        <v>2.45</v>
      </c>
    </row>
    <row r="32">
      <c r="B32" s="34" t="s">
        <v>300</v>
      </c>
      <c r="C32" s="75">
        <f>AVERAGE(C29:C31)</f>
        <v>2.303333333</v>
      </c>
    </row>
    <row r="35">
      <c r="A35" s="34" t="s">
        <v>301</v>
      </c>
    </row>
    <row r="37">
      <c r="A37" s="34" t="s">
        <v>302</v>
      </c>
    </row>
    <row r="39">
      <c r="A39" s="34" t="s">
        <v>303</v>
      </c>
    </row>
    <row r="45">
      <c r="A45" s="34" t="s">
        <v>304</v>
      </c>
    </row>
    <row r="47">
      <c r="A47" s="34" t="s">
        <v>305</v>
      </c>
    </row>
    <row r="50">
      <c r="A50" s="34" t="s">
        <v>306</v>
      </c>
    </row>
    <row r="55">
      <c r="A55" s="34" t="s">
        <v>307</v>
      </c>
    </row>
    <row r="56">
      <c r="A56" s="34" t="s">
        <v>308</v>
      </c>
    </row>
    <row r="58">
      <c r="A58" s="34" t="s">
        <v>309</v>
      </c>
    </row>
    <row r="59">
      <c r="A59" s="34" t="s">
        <v>310</v>
      </c>
      <c r="B59" s="34" t="s">
        <v>311</v>
      </c>
      <c r="C59" s="34" t="s">
        <v>312</v>
      </c>
      <c r="D59" s="34" t="s">
        <v>313</v>
      </c>
      <c r="E59" s="34"/>
      <c r="F59" s="34" t="s">
        <v>314</v>
      </c>
    </row>
    <row r="60">
      <c r="A60" s="34" t="s">
        <v>315</v>
      </c>
      <c r="B60" s="34">
        <v>14.0</v>
      </c>
      <c r="C60" s="34">
        <v>0.47</v>
      </c>
      <c r="D60" s="75">
        <f t="shared" ref="D60:D64" si="16">C60/B60</f>
        <v>0.03357142857</v>
      </c>
      <c r="F60" s="75">
        <f t="shared" ref="F60:F64" si="17">1.791044776*D60</f>
        <v>0.06012793177</v>
      </c>
      <c r="H60" s="34" t="s">
        <v>316</v>
      </c>
      <c r="I60" s="34" t="s">
        <v>237</v>
      </c>
    </row>
    <row r="61">
      <c r="A61" s="34" t="s">
        <v>317</v>
      </c>
      <c r="B61" s="34">
        <v>12.0</v>
      </c>
      <c r="C61" s="34">
        <v>60.3</v>
      </c>
      <c r="D61" s="75">
        <f t="shared" si="16"/>
        <v>5.025</v>
      </c>
      <c r="F61" s="75">
        <f t="shared" si="17"/>
        <v>8.999999999</v>
      </c>
      <c r="H61" s="34" t="s">
        <v>318</v>
      </c>
      <c r="I61" s="34" t="s">
        <v>238</v>
      </c>
    </row>
    <row r="62">
      <c r="A62" s="34" t="s">
        <v>319</v>
      </c>
      <c r="B62" s="34">
        <v>1.0</v>
      </c>
      <c r="C62" s="34">
        <v>4.57</v>
      </c>
      <c r="D62" s="75">
        <f t="shared" si="16"/>
        <v>4.57</v>
      </c>
      <c r="F62" s="75">
        <f t="shared" si="17"/>
        <v>8.185074626</v>
      </c>
    </row>
    <row r="63">
      <c r="A63" s="34" t="s">
        <v>320</v>
      </c>
      <c r="B63" s="34">
        <v>32.0</v>
      </c>
      <c r="C63" s="34">
        <v>0.04</v>
      </c>
      <c r="D63" s="75">
        <f t="shared" si="16"/>
        <v>0.00125</v>
      </c>
      <c r="F63" s="75">
        <f t="shared" si="17"/>
        <v>0.00223880597</v>
      </c>
    </row>
    <row r="64">
      <c r="A64" s="34" t="s">
        <v>321</v>
      </c>
      <c r="B64" s="34">
        <v>16.0</v>
      </c>
      <c r="C64" s="34">
        <v>34.61</v>
      </c>
      <c r="D64" s="75">
        <f t="shared" si="16"/>
        <v>2.163125</v>
      </c>
      <c r="F64" s="75">
        <f t="shared" si="17"/>
        <v>3.874253731</v>
      </c>
    </row>
    <row r="65">
      <c r="I65" s="34">
        <f>9/5.025</f>
        <v>1.791044776</v>
      </c>
    </row>
    <row r="68">
      <c r="D68" s="34" t="s">
        <v>317</v>
      </c>
      <c r="E68" s="34"/>
      <c r="F68" s="34">
        <v>10.0</v>
      </c>
      <c r="G68" s="75">
        <f t="shared" ref="G68:G70" si="18">(9/10)*F68</f>
        <v>9</v>
      </c>
    </row>
    <row r="69">
      <c r="D69" s="34" t="s">
        <v>319</v>
      </c>
      <c r="F69" s="75">
        <f>9.36+3.69</f>
        <v>13.05</v>
      </c>
      <c r="G69" s="75">
        <f t="shared" si="18"/>
        <v>11.745</v>
      </c>
    </row>
    <row r="70">
      <c r="D70" s="34" t="s">
        <v>321</v>
      </c>
      <c r="E70" s="34"/>
      <c r="F70" s="34">
        <v>5.5</v>
      </c>
      <c r="G70" s="75">
        <f t="shared" si="18"/>
        <v>4.95</v>
      </c>
    </row>
  </sheetData>
  <hyperlinks>
    <hyperlink r:id="rId1" ref="B5"/>
    <hyperlink r:id="rId2" ref="B7"/>
  </hyperlin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8"/>
      <c r="B1" s="64"/>
      <c r="C1" s="68"/>
      <c r="D1" s="68"/>
      <c r="E1" s="69"/>
      <c r="F1" s="69"/>
      <c r="G1" s="69"/>
      <c r="H1" s="69"/>
      <c r="I1" s="68"/>
      <c r="J1" s="69"/>
      <c r="K1" s="68"/>
      <c r="L1" s="69"/>
      <c r="M1" s="68"/>
      <c r="N1" s="68"/>
      <c r="O1" s="68"/>
      <c r="P1" s="64"/>
      <c r="Q1" s="68"/>
      <c r="R1" s="68"/>
      <c r="S1" s="68"/>
      <c r="T1" s="68"/>
    </row>
    <row r="2">
      <c r="A2" s="69" t="s">
        <v>202</v>
      </c>
      <c r="B2" s="69" t="s">
        <v>203</v>
      </c>
      <c r="C2" s="69" t="s">
        <v>204</v>
      </c>
      <c r="D2" s="69" t="s">
        <v>205</v>
      </c>
      <c r="E2" s="69" t="s">
        <v>206</v>
      </c>
      <c r="F2" s="69" t="s">
        <v>207</v>
      </c>
      <c r="G2" s="76" t="s">
        <v>208</v>
      </c>
      <c r="H2" s="76"/>
      <c r="I2" s="76" t="s">
        <v>209</v>
      </c>
      <c r="J2" s="69" t="s">
        <v>210</v>
      </c>
      <c r="K2" s="69" t="s">
        <v>211</v>
      </c>
      <c r="L2" s="69" t="s">
        <v>212</v>
      </c>
      <c r="M2" s="67"/>
      <c r="N2" s="67"/>
      <c r="O2" s="64"/>
      <c r="P2" s="64"/>
      <c r="Q2" s="64"/>
      <c r="R2" s="64"/>
      <c r="S2" s="64"/>
      <c r="T2" s="64"/>
      <c r="U2" s="64"/>
      <c r="V2" s="64"/>
      <c r="W2" s="64"/>
      <c r="X2" s="64"/>
    </row>
    <row r="3">
      <c r="A3" s="65">
        <v>0.07</v>
      </c>
      <c r="B3" s="65">
        <v>5.0</v>
      </c>
      <c r="C3" s="65">
        <f>A3/B3</f>
        <v>0.014</v>
      </c>
      <c r="D3" s="65">
        <f>(C3/1000)/(1/1000000)</f>
        <v>14</v>
      </c>
      <c r="E3" s="65">
        <f>A3*(1/12.01)*(1/1000)*1000000</f>
        <v>5.82847627</v>
      </c>
      <c r="F3" s="65">
        <f>E3/B3</f>
        <v>1.165695254</v>
      </c>
      <c r="G3" s="65">
        <f>F3/29</f>
        <v>0.04019638807</v>
      </c>
      <c r="H3" s="65"/>
      <c r="I3" s="65">
        <f>6*32*(5/1000000)*4*1000</f>
        <v>3.84</v>
      </c>
      <c r="J3" s="65">
        <f>1*32*(5/1000000)*4*1000</f>
        <v>0.64</v>
      </c>
      <c r="K3" s="65">
        <v>4.0</v>
      </c>
      <c r="L3" s="65">
        <v>0.7</v>
      </c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</row>
    <row r="4">
      <c r="A4" s="77" t="s">
        <v>164</v>
      </c>
      <c r="B4" s="78" t="s">
        <v>165</v>
      </c>
      <c r="C4" s="77" t="s">
        <v>166</v>
      </c>
      <c r="D4" s="79" t="s">
        <v>213</v>
      </c>
      <c r="E4" s="79" t="s">
        <v>214</v>
      </c>
      <c r="F4" s="79" t="s">
        <v>215</v>
      </c>
      <c r="G4" s="80" t="s">
        <v>216</v>
      </c>
      <c r="H4" s="80" t="s">
        <v>217</v>
      </c>
      <c r="I4" s="79" t="s">
        <v>218</v>
      </c>
      <c r="J4" s="79" t="s">
        <v>219</v>
      </c>
      <c r="K4" s="79" t="s">
        <v>220</v>
      </c>
      <c r="L4" s="79" t="s">
        <v>221</v>
      </c>
      <c r="M4" s="79" t="s">
        <v>222</v>
      </c>
      <c r="N4" s="79" t="s">
        <v>223</v>
      </c>
      <c r="O4" s="79" t="s">
        <v>224</v>
      </c>
      <c r="P4" s="79" t="s">
        <v>225</v>
      </c>
      <c r="Q4" s="79" t="s">
        <v>226</v>
      </c>
      <c r="R4" s="79" t="s">
        <v>227</v>
      </c>
      <c r="S4" s="79" t="s">
        <v>228</v>
      </c>
      <c r="T4" s="79" t="s">
        <v>229</v>
      </c>
      <c r="U4" s="79" t="s">
        <v>230</v>
      </c>
      <c r="V4" s="77"/>
      <c r="W4" s="77"/>
      <c r="X4" s="79"/>
      <c r="Y4" s="79"/>
    </row>
    <row r="5">
      <c r="A5" s="67" t="s">
        <v>157</v>
      </c>
      <c r="B5" s="62" t="s">
        <v>251</v>
      </c>
      <c r="C5" s="65">
        <v>6.0</v>
      </c>
      <c r="D5" s="65">
        <f t="shared" ref="D5:D7" si="1">C5/SUM($C$5:$C$7)</f>
        <v>0.3054989817</v>
      </c>
      <c r="E5" s="65">
        <f>(12*9) + (1* 10.2) + (16*3.4)</f>
        <v>172.6</v>
      </c>
      <c r="F5" s="81">
        <f>(13*9) + (1* 10.2) + (16*3.4)</f>
        <v>181.6</v>
      </c>
      <c r="G5" s="81">
        <v>9.0</v>
      </c>
      <c r="H5" s="81">
        <v>0.0</v>
      </c>
      <c r="I5" s="66">
        <f t="shared" ref="I5:I7" si="2">(12.01*G5)*D5/SUM($D$5:$D$7)</f>
        <v>33.02138493</v>
      </c>
      <c r="J5" s="65">
        <v>0.0</v>
      </c>
      <c r="K5" s="66">
        <f t="shared" ref="K5:K7" si="3">I5/SUM($I$5:$I$7)</f>
        <v>0.2711932503</v>
      </c>
      <c r="L5" s="66">
        <f t="shared" ref="L5:L7" si="4">K5*$D$3</f>
        <v>3.796705504</v>
      </c>
      <c r="M5" s="66">
        <f t="shared" ref="M5:M7" si="5">L5/12.01</f>
        <v>0.3161286848</v>
      </c>
      <c r="N5" s="66">
        <f t="shared" ref="N5:N7" si="6">M5*(1/G5)</f>
        <v>0.03512540942</v>
      </c>
      <c r="O5" s="66">
        <f t="shared" ref="O5:O7" si="7">N5*E5</f>
        <v>6.062645666</v>
      </c>
      <c r="P5" s="82">
        <f t="shared" ref="P5:P7" si="8">O5*($K$3/1000)</f>
        <v>0.02425058266</v>
      </c>
      <c r="Q5" s="83">
        <f t="shared" ref="Q5:Q7" si="9">P5*1000</f>
        <v>24.25058266</v>
      </c>
      <c r="R5" s="66">
        <f t="shared" ref="R5:R7" si="10">N5*F5</f>
        <v>6.378774351</v>
      </c>
      <c r="S5" s="66">
        <f t="shared" ref="S5:S7" si="11">R5*($L$3/1000)</f>
        <v>0.004465142045</v>
      </c>
      <c r="T5" s="83">
        <f t="shared" ref="T5:T7" si="12">S5*1000</f>
        <v>4.465142045</v>
      </c>
      <c r="U5" s="84">
        <f t="shared" ref="U5:U7" si="13">O5*($L$3)</f>
        <v>4.243851966</v>
      </c>
      <c r="V5" s="70"/>
      <c r="W5" s="70"/>
      <c r="X5" s="72"/>
      <c r="Y5" s="72"/>
    </row>
    <row r="6">
      <c r="A6" s="67" t="s">
        <v>158</v>
      </c>
      <c r="B6" s="67" t="s">
        <v>252</v>
      </c>
      <c r="C6" s="65">
        <v>9.0</v>
      </c>
      <c r="D6" s="65">
        <f t="shared" si="1"/>
        <v>0.4582484725</v>
      </c>
      <c r="E6" s="34">
        <v>342.3</v>
      </c>
      <c r="F6" s="81">
        <f>(13*12) + (1*22) + (16*11)</f>
        <v>354</v>
      </c>
      <c r="G6" s="81">
        <v>12.0</v>
      </c>
      <c r="H6" s="81">
        <v>0.0</v>
      </c>
      <c r="I6" s="66">
        <f t="shared" si="2"/>
        <v>66.04276986</v>
      </c>
      <c r="J6" s="65">
        <v>0.0</v>
      </c>
      <c r="K6" s="66">
        <f t="shared" si="3"/>
        <v>0.5423865006</v>
      </c>
      <c r="L6" s="66">
        <f t="shared" si="4"/>
        <v>7.593411008</v>
      </c>
      <c r="M6" s="66">
        <f t="shared" si="5"/>
        <v>0.6322573696</v>
      </c>
      <c r="N6" s="66">
        <f t="shared" si="6"/>
        <v>0.05268811413</v>
      </c>
      <c r="O6" s="66">
        <f t="shared" si="7"/>
        <v>18.03514147</v>
      </c>
      <c r="P6" s="82">
        <f t="shared" si="8"/>
        <v>0.07214056587</v>
      </c>
      <c r="Q6" s="83">
        <f t="shared" si="9"/>
        <v>72.14056587</v>
      </c>
      <c r="R6" s="66">
        <f t="shared" si="10"/>
        <v>18.6515924</v>
      </c>
      <c r="S6" s="66">
        <f t="shared" si="11"/>
        <v>0.01305611468</v>
      </c>
      <c r="T6" s="83">
        <f t="shared" si="12"/>
        <v>13.05611468</v>
      </c>
      <c r="U6" s="84">
        <f t="shared" si="13"/>
        <v>12.62459903</v>
      </c>
      <c r="V6" s="70"/>
      <c r="W6" s="70"/>
      <c r="X6" s="72"/>
      <c r="Y6" s="72"/>
    </row>
    <row r="7">
      <c r="A7" s="67" t="s">
        <v>253</v>
      </c>
      <c r="B7" s="62" t="s">
        <v>254</v>
      </c>
      <c r="C7" s="65">
        <v>4.64</v>
      </c>
      <c r="D7" s="65">
        <f t="shared" si="1"/>
        <v>0.2362525458</v>
      </c>
      <c r="E7" s="65">
        <v>221.21</v>
      </c>
      <c r="F7" s="81">
        <f>(13*8) + (1*15) + (14*1) + (16*6)</f>
        <v>229</v>
      </c>
      <c r="G7" s="81">
        <v>8.0</v>
      </c>
      <c r="H7" s="81">
        <v>1.0</v>
      </c>
      <c r="I7" s="66">
        <f t="shared" si="2"/>
        <v>22.6991446</v>
      </c>
      <c r="J7" s="66">
        <f>(14.01*H7)*D7/SUM($D$5:$D$7)</f>
        <v>3.309898167</v>
      </c>
      <c r="K7" s="66">
        <f t="shared" si="3"/>
        <v>0.1864202491</v>
      </c>
      <c r="L7" s="66">
        <f t="shared" si="4"/>
        <v>2.609883487</v>
      </c>
      <c r="M7" s="66">
        <f t="shared" si="5"/>
        <v>0.2173091996</v>
      </c>
      <c r="N7" s="66">
        <f t="shared" si="6"/>
        <v>0.02716364995</v>
      </c>
      <c r="O7" s="66">
        <f t="shared" si="7"/>
        <v>6.008871006</v>
      </c>
      <c r="P7" s="82">
        <f t="shared" si="8"/>
        <v>0.02403548402</v>
      </c>
      <c r="Q7" s="83">
        <f t="shared" si="9"/>
        <v>24.03548402</v>
      </c>
      <c r="R7" s="66">
        <f t="shared" si="10"/>
        <v>6.220475839</v>
      </c>
      <c r="S7" s="66">
        <f t="shared" si="11"/>
        <v>0.004354333087</v>
      </c>
      <c r="T7" s="83">
        <f t="shared" si="12"/>
        <v>4.354333087</v>
      </c>
      <c r="U7" s="84">
        <f t="shared" si="13"/>
        <v>4.206209704</v>
      </c>
      <c r="V7" s="70"/>
      <c r="W7" s="70"/>
      <c r="X7" s="72"/>
      <c r="Y7" s="72"/>
    </row>
    <row r="8">
      <c r="P8" s="66"/>
    </row>
    <row r="10">
      <c r="J10" s="69"/>
      <c r="K10" s="66"/>
      <c r="L10" s="66"/>
    </row>
    <row r="11">
      <c r="N11" s="34" t="s">
        <v>231</v>
      </c>
      <c r="O11" s="34" t="s">
        <v>232</v>
      </c>
      <c r="P11" s="34" t="s">
        <v>233</v>
      </c>
    </row>
    <row r="12">
      <c r="M12" s="69" t="s">
        <v>234</v>
      </c>
      <c r="N12" s="66">
        <f t="shared" ref="N12:O12" si="14">SUM(I5:I7)</f>
        <v>121.7632994</v>
      </c>
      <c r="O12" s="66">
        <f t="shared" si="14"/>
        <v>3.309898167</v>
      </c>
      <c r="P12" s="75">
        <f>N12/O12</f>
        <v>36.78762706</v>
      </c>
    </row>
    <row r="14">
      <c r="A14" s="64"/>
      <c r="B14" s="64"/>
      <c r="C14" s="64"/>
      <c r="D14" s="64"/>
    </row>
    <row r="15">
      <c r="A15" s="66"/>
      <c r="B15" s="71"/>
      <c r="C15" s="65"/>
      <c r="D15" s="64"/>
      <c r="T15" s="85"/>
    </row>
    <row r="16">
      <c r="T16" s="85"/>
    </row>
    <row r="19">
      <c r="T19" s="86"/>
    </row>
    <row r="20">
      <c r="A20" s="34" t="s">
        <v>235</v>
      </c>
    </row>
    <row r="21">
      <c r="A21" s="34" t="s">
        <v>236</v>
      </c>
    </row>
    <row r="28">
      <c r="A28" s="57"/>
      <c r="B28" s="57"/>
      <c r="C28" s="57"/>
    </row>
    <row r="29">
      <c r="I29" s="57"/>
    </row>
    <row r="30">
      <c r="E30" s="61"/>
      <c r="F30" s="61"/>
      <c r="G30" s="61"/>
      <c r="H30" s="61"/>
      <c r="I30" s="87"/>
    </row>
    <row r="60">
      <c r="J60" s="34" t="s">
        <v>237</v>
      </c>
    </row>
    <row r="61">
      <c r="J61" s="34" t="s">
        <v>238</v>
      </c>
    </row>
    <row r="65">
      <c r="J65" s="34">
        <f>9/5.025</f>
        <v>1.791044776</v>
      </c>
    </row>
  </sheetData>
  <hyperlinks>
    <hyperlink r:id="rId1" ref="B5"/>
    <hyperlink r:id="rId2" ref="B7"/>
  </hyperlinks>
  <drawing r:id="rId3"/>
</worksheet>
</file>